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후보사전_원어별" sheetId="2" state="visible" r:id="rId4"/>
    <sheet name="고유키_요약" sheetId="3" state="visible" r:id="rId5"/>
    <sheet name="집계" sheetId="4" state="visible" r:id="rId6"/>
  </sheets>
  <definedNames>
    <definedName function="false" hidden="true" localSheetId="2" name="_xlnm._FilterDatabase" vbProcedure="false">고유키_요약!$A$1:$G$815</definedName>
    <definedName function="false" hidden="true" localSheetId="1" name="_xlnm._FilterDatabase" vbProcedure="false">후보사전_원어별!$A$1:$N$963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<sst xmlns="http://schemas.openxmlformats.org/spreadsheetml/2006/main" count="9730" uniqueCount="2852">
  <si>
    <r>
      <rPr>
        <b val="true"/>
        <sz val="12"/>
        <rFont val="Arial"/>
        <family val="0"/>
        <charset val="1"/>
      </rPr>
      <t xml:space="preserve">McLeod et al. (2022) Table II → </t>
    </r>
    <r>
      <rPr>
        <b val="true"/>
        <sz val="12"/>
        <rFont val="Noto Sans CJK SC"/>
        <family val="2"/>
      </rPr>
      <t xml:space="preserve">한국어 연역 후보 사전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초안</t>
    </r>
    <r>
      <rPr>
        <b val="true"/>
        <sz val="12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</si>
  <si>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출처</t>
    </r>
    <r>
      <rPr>
        <sz val="10"/>
        <rFont val="Arial"/>
        <family val="0"/>
        <charset val="1"/>
      </rPr>
      <t xml:space="preserve">: McLeod, Sears, Chandler, Payne &amp; Brigham (2022), Journal of Management Studies 59(7), Table II (pp.1671–1673). </t>
    </r>
    <r>
      <rPr>
        <sz val="10"/>
        <rFont val="Noto Sans CJK SC"/>
        <family val="2"/>
      </rPr>
      <t xml:space="preserve">원문 </t>
    </r>
    <r>
      <rPr>
        <sz val="10"/>
        <rFont val="Arial"/>
        <family val="0"/>
        <charset val="1"/>
      </rPr>
      <t xml:space="preserve">891</t>
    </r>
    <r>
      <rPr>
        <sz val="10"/>
        <rFont val="Noto Sans CJK SC"/>
        <family val="2"/>
      </rPr>
      <t xml:space="preserve">개 중 </t>
    </r>
    <r>
      <rPr>
        <sz val="10"/>
        <rFont val="Arial"/>
        <family val="0"/>
        <charset val="1"/>
      </rPr>
      <t xml:space="preserve">890</t>
    </r>
    <r>
      <rPr>
        <sz val="10"/>
        <rFont val="Noto Sans CJK SC"/>
        <family val="2"/>
      </rPr>
      <t xml:space="preserve">개 전사</t>
    </r>
    <r>
      <rPr>
        <sz val="10"/>
        <rFont val="Arial"/>
        <family val="0"/>
        <charset val="1"/>
      </rPr>
      <t xml:space="preserve">(PDF </t>
    </r>
    <r>
      <rPr>
        <sz val="10"/>
        <rFont val="Noto Sans CJK SC"/>
        <family val="2"/>
      </rPr>
      <t xml:space="preserve">줄바꿈으로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 차이 가능</t>
    </r>
    <r>
      <rPr>
        <sz val="10"/>
        <rFont val="Arial"/>
        <family val="0"/>
        <charset val="1"/>
      </rPr>
      <t xml:space="preserve">).</t>
    </r>
  </si>
  <si>
    <r>
      <rPr>
        <sz val="10"/>
        <rFont val="Noto Sans CJK SC"/>
        <family val="2"/>
      </rPr>
      <t xml:space="preserve">성격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원 논문 절차 중 ② 연역 단계</t>
    </r>
    <r>
      <rPr>
        <sz val="10"/>
        <rFont val="Arial"/>
        <family val="0"/>
        <charset val="1"/>
      </rPr>
      <t xml:space="preserve">(Rodale </t>
    </r>
    <r>
      <rPr>
        <sz val="10"/>
        <rFont val="Noto Sans CJK SC"/>
        <family val="2"/>
      </rPr>
      <t xml:space="preserve">유의어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에 해당하는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후보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목록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한국어 번역은 </t>
    </r>
    <r>
      <rPr>
        <sz val="10"/>
        <rFont val="Arial"/>
        <family val="0"/>
        <charset val="1"/>
      </rPr>
      <t xml:space="preserve">Claude </t>
    </r>
    <r>
      <rPr>
        <sz val="10"/>
        <rFont val="Noto Sans CJK SC"/>
        <family val="2"/>
      </rPr>
      <t xml:space="preserve">초안이며 확정 사전이 아님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</si>
  <si>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다음 단계</t>
    </r>
    <r>
      <rPr>
        <sz val="10"/>
        <rFont val="Arial"/>
        <family val="0"/>
        <charset val="1"/>
      </rPr>
      <t xml:space="preserve">: ③ DIPS </t>
    </r>
    <r>
      <rPr>
        <sz val="10"/>
        <rFont val="Noto Sans CJK SC"/>
        <family val="2"/>
      </rPr>
      <t xml:space="preserve">사업계획서 귀납 후보 추가 → ④ 평정자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인 판정</t>
    </r>
    <r>
      <rPr>
        <sz val="10"/>
        <rFont val="Arial"/>
        <family val="0"/>
        <charset val="1"/>
      </rPr>
      <t xml:space="preserve">(Holsti ≥ .70) → ⑤ </t>
    </r>
    <r>
      <rPr>
        <sz val="10"/>
        <rFont val="Noto Sans CJK SC"/>
        <family val="2"/>
      </rPr>
      <t xml:space="preserve">외부 전문가 추가 제안 </t>
    </r>
    <r>
      <rPr>
        <sz val="10"/>
        <rFont val="Arial"/>
        <family val="0"/>
        <charset val="1"/>
      </rPr>
      <t xml:space="preserve">+ 5</t>
    </r>
    <r>
      <rPr>
        <sz val="10"/>
        <rFont val="Noto Sans CJK SC"/>
        <family val="2"/>
      </rPr>
      <t xml:space="preserve">인 만장일치</t>
    </r>
    <r>
      <rPr>
        <sz val="10"/>
        <rFont val="Arial"/>
        <family val="0"/>
        <charset val="1"/>
      </rPr>
      <t xml:space="preserve">.</t>
    </r>
  </si>
  <si>
    <t xml:space="preserve">시트 구성</t>
  </si>
  <si>
    <r>
      <rPr>
        <sz val="10"/>
        <rFont val="Noto Sans CJK SC"/>
        <family val="2"/>
      </rPr>
      <t xml:space="preserve">후보사전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원어별</t>
    </r>
    <r>
      <rPr>
        <sz val="10"/>
        <rFont val="Arial"/>
        <family val="0"/>
        <charset val="1"/>
      </rPr>
      <t xml:space="preserve">: Table II </t>
    </r>
    <r>
      <rPr>
        <sz val="10"/>
        <rFont val="Noto Sans CJK SC"/>
        <family val="2"/>
      </rPr>
      <t xml:space="preserve">원어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개당 한국어 후보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후보가 여럿이면 여러 행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평정자 판정 입력용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</si>
  <si>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고유키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요약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형태소 매칭 키 기준으로 중복을 합친 목록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실제 </t>
    </r>
    <r>
      <rPr>
        <sz val="10"/>
        <rFont val="Arial"/>
        <family val="0"/>
        <charset val="1"/>
      </rPr>
      <t xml:space="preserve">CATA </t>
    </r>
    <r>
      <rPr>
        <sz val="10"/>
        <rFont val="Noto Sans CJK SC"/>
        <family val="2"/>
      </rPr>
      <t xml:space="preserve">집계에 쓰일 사전의 모양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</si>
  <si>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집계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차원별 후보 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플래그 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채택 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평정 입력에 따라 자동 갱신</t>
    </r>
    <r>
      <rPr>
        <sz val="10"/>
        <rFont val="Arial"/>
        <family val="0"/>
        <charset val="1"/>
      </rPr>
      <t xml:space="preserve">).</t>
    </r>
  </si>
  <si>
    <t xml:space="preserve">열 설명</t>
  </si>
  <si>
    <r>
      <rPr>
        <sz val="10"/>
        <rFont val="Noto Sans CJK SC"/>
        <family val="2"/>
      </rPr>
      <t xml:space="preserve">형태소 분석</t>
    </r>
    <r>
      <rPr>
        <sz val="10"/>
        <rFont val="Arial"/>
        <family val="0"/>
        <charset val="1"/>
      </rPr>
      <t xml:space="preserve">: Kiwi(kiwipiepy) </t>
    </r>
    <r>
      <rPr>
        <sz val="10"/>
        <rFont val="Noto Sans CJK SC"/>
        <family val="2"/>
      </rPr>
      <t xml:space="preserve">분석 결과 전체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매칭 키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내용 형태소</t>
    </r>
    <r>
      <rPr>
        <sz val="10"/>
        <rFont val="Arial"/>
        <family val="0"/>
        <charset val="1"/>
      </rPr>
      <t xml:space="preserve">(NNG·VV·VA·XR </t>
    </r>
    <r>
      <rPr>
        <sz val="10"/>
        <rFont val="Noto Sans CJK SC"/>
        <family val="2"/>
      </rPr>
      <t xml:space="preserve">등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만 남긴 것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사업계획서에서 이 키와 일치하는 형태소를 셈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</si>
  <si>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'</t>
    </r>
    <r>
      <rPr>
        <sz val="10"/>
        <rFont val="Noto Sans CJK SC"/>
        <family val="2"/>
      </rPr>
      <t xml:space="preserve">증가예정</t>
    </r>
    <r>
      <rPr>
        <sz val="10"/>
        <rFont val="Arial"/>
        <family val="0"/>
        <charset val="1"/>
      </rPr>
      <t xml:space="preserve">' → </t>
    </r>
    <r>
      <rPr>
        <sz val="10"/>
        <rFont val="Noto Sans CJK SC"/>
        <family val="2"/>
      </rPr>
      <t xml:space="preserve">증가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예정</t>
    </r>
    <r>
      <rPr>
        <sz val="10"/>
        <rFont val="Arial"/>
        <family val="0"/>
        <charset val="1"/>
      </rPr>
      <t xml:space="preserve">/NNG </t>
    </r>
    <r>
      <rPr>
        <sz val="10"/>
        <rFont val="Noto Sans CJK SC"/>
        <family val="2"/>
      </rPr>
      <t xml:space="preserve">로 분석되므로 키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증가</t>
    </r>
    <r>
      <rPr>
        <sz val="10"/>
        <rFont val="Arial"/>
        <family val="0"/>
        <charset val="1"/>
      </rPr>
      <t xml:space="preserve">/NNG'</t>
    </r>
    <r>
      <rPr>
        <sz val="10"/>
        <rFont val="Noto Sans CJK SC"/>
        <family val="2"/>
      </rPr>
      <t xml:space="preserve">가 잡힘</t>
    </r>
    <r>
      <rPr>
        <sz val="10"/>
        <rFont val="Arial"/>
        <family val="0"/>
        <charset val="1"/>
      </rPr>
      <t xml:space="preserve">. '</t>
    </r>
    <r>
      <rPr>
        <sz val="10"/>
        <rFont val="Noto Sans CJK SC"/>
        <family val="2"/>
      </rPr>
      <t xml:space="preserve">도와</t>
    </r>
    <r>
      <rPr>
        <sz val="10"/>
        <rFont val="Arial"/>
        <family val="0"/>
        <charset val="1"/>
      </rPr>
      <t xml:space="preserve">' → </t>
    </r>
    <r>
      <rPr>
        <sz val="10"/>
        <rFont val="Noto Sans CJK SC"/>
        <family val="2"/>
      </rPr>
      <t xml:space="preserve">돕</t>
    </r>
    <r>
      <rPr>
        <sz val="10"/>
        <rFont val="Arial"/>
        <family val="0"/>
        <charset val="1"/>
      </rPr>
      <t xml:space="preserve">/VV </t>
    </r>
    <r>
      <rPr>
        <sz val="10"/>
        <rFont val="Noto Sans CJK SC"/>
        <family val="2"/>
      </rPr>
      <t xml:space="preserve">로 원형 복원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</si>
  <si>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접두사</t>
    </r>
    <r>
      <rPr>
        <sz val="10"/>
        <rFont val="Arial"/>
        <family val="0"/>
        <charset val="1"/>
      </rPr>
      <t xml:space="preserve">(XPN)</t>
    </r>
    <r>
      <rPr>
        <sz val="10"/>
        <rFont val="Noto Sans CJK SC"/>
        <family val="2"/>
      </rPr>
      <t xml:space="preserve">는 키에 포함</t>
    </r>
    <r>
      <rPr>
        <sz val="10"/>
        <rFont val="Arial"/>
        <family val="0"/>
        <charset val="1"/>
      </rPr>
      <t xml:space="preserve">: '</t>
    </r>
    <r>
      <rPr>
        <sz val="10"/>
        <rFont val="Noto Sans CJK SC"/>
        <family val="2"/>
      </rPr>
      <t xml:space="preserve">비호감</t>
    </r>
    <r>
      <rPr>
        <sz val="10"/>
        <rFont val="Arial"/>
        <family val="0"/>
        <charset val="1"/>
      </rPr>
      <t xml:space="preserve">' = </t>
    </r>
    <r>
      <rPr>
        <sz val="10"/>
        <rFont val="Noto Sans CJK SC"/>
        <family val="2"/>
      </rPr>
      <t xml:space="preserve">비</t>
    </r>
    <r>
      <rPr>
        <sz val="10"/>
        <rFont val="Arial"/>
        <family val="0"/>
        <charset val="1"/>
      </rPr>
      <t xml:space="preserve">/XPN + </t>
    </r>
    <r>
      <rPr>
        <sz val="10"/>
        <rFont val="Noto Sans CJK SC"/>
        <family val="2"/>
      </rPr>
      <t xml:space="preserve">호감</t>
    </r>
    <r>
      <rPr>
        <sz val="10"/>
        <rFont val="Arial"/>
        <family val="0"/>
        <charset val="1"/>
      </rPr>
      <t xml:space="preserve">/NNG </t>
    </r>
    <r>
      <rPr>
        <sz val="10"/>
        <rFont val="Noto Sans CJK SC"/>
        <family val="2"/>
      </rPr>
      <t xml:space="preserve">이므로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호감</t>
    </r>
    <r>
      <rPr>
        <sz val="10"/>
        <rFont val="Arial"/>
        <family val="0"/>
        <charset val="1"/>
      </rPr>
      <t xml:space="preserve">'(ethos)</t>
    </r>
    <r>
      <rPr>
        <sz val="10"/>
        <rFont val="Noto Sans CJK SC"/>
        <family val="2"/>
      </rPr>
      <t xml:space="preserve">과 구별됨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집계 시 긴 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구 매칭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를 먼저 세고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형태소는 짧은 키로 중복 집계하지 않음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</si>
  <si>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매칭 키는 </t>
    </r>
    <r>
      <rPr>
        <sz val="10"/>
        <rFont val="Arial"/>
        <family val="0"/>
        <charset val="1"/>
      </rPr>
      <t xml:space="preserve">Kiwi</t>
    </r>
    <r>
      <rPr>
        <sz val="10"/>
        <rFont val="Noto Sans CJK SC"/>
        <family val="2"/>
      </rPr>
      <t xml:space="preserve">가 실제 문장에서 내는 분석에 맞춘 것이라 언어학적으로 어색할 수 있음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무결성 → 무</t>
    </r>
    <r>
      <rPr>
        <sz val="10"/>
        <rFont val="Arial"/>
        <family val="0"/>
        <charset val="1"/>
      </rPr>
      <t xml:space="preserve">/XPN + </t>
    </r>
    <r>
      <rPr>
        <sz val="10"/>
        <rFont val="Noto Sans CJK SC"/>
        <family val="2"/>
      </rPr>
      <t xml:space="preserve">결성</t>
    </r>
    <r>
      <rPr>
        <sz val="10"/>
        <rFont val="Arial"/>
        <family val="0"/>
        <charset val="1"/>
      </rPr>
      <t xml:space="preserve">/NNG). </t>
    </r>
    <r>
      <rPr>
        <sz val="10"/>
        <rFont val="Noto Sans CJK SC"/>
        <family val="2"/>
      </rPr>
      <t xml:space="preserve">키를 고칠 땐 같은 단어를 넣은 예문을 </t>
    </r>
    <r>
      <rPr>
        <sz val="10"/>
        <rFont val="Arial"/>
        <family val="0"/>
        <charset val="1"/>
      </rPr>
      <t xml:space="preserve">Kiwi</t>
    </r>
    <r>
      <rPr>
        <sz val="10"/>
        <rFont val="Noto Sans CJK SC"/>
        <family val="2"/>
      </rPr>
      <t xml:space="preserve">로 분석해 확인할 것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</si>
  <si>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자동 플래그</t>
    </r>
    <r>
      <rPr>
        <sz val="10"/>
        <rFont val="Arial"/>
        <family val="0"/>
        <charset val="1"/>
      </rPr>
      <t xml:space="preserve">: 1</t>
    </r>
    <r>
      <rPr>
        <sz val="10"/>
        <rFont val="Noto Sans CJK SC"/>
        <family val="2"/>
      </rPr>
      <t xml:space="preserve">음절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과잉매칭</t>
    </r>
    <r>
      <rPr>
        <sz val="10"/>
        <rFont val="Arial"/>
        <family val="0"/>
        <charset val="1"/>
      </rPr>
      <t xml:space="preserve">) / </t>
    </r>
    <r>
      <rPr>
        <sz val="10"/>
        <rFont val="Noto Sans CJK SC"/>
        <family val="2"/>
      </rPr>
      <t xml:space="preserve">차원충돌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키가 </t>
    </r>
    <r>
      <rPr>
        <sz val="10"/>
        <rFont val="Arial"/>
        <family val="0"/>
        <charset val="1"/>
      </rPr>
      <t xml:space="preserve">logos·pathos·ethos </t>
    </r>
    <r>
      <rPr>
        <sz val="10"/>
        <rFont val="Noto Sans CJK SC"/>
        <family val="2"/>
      </rPr>
      <t xml:space="preserve">중 둘 이상에 배정</t>
    </r>
    <r>
      <rPr>
        <sz val="10"/>
        <rFont val="Arial"/>
        <family val="0"/>
        <charset val="1"/>
      </rPr>
      <t xml:space="preserve">) / </t>
    </r>
    <r>
      <rPr>
        <sz val="10"/>
        <rFont val="Noto Sans CJK SC"/>
        <family val="2"/>
      </rPr>
      <t xml:space="preserve">차원내 중복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句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매칭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형태소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개 이상 연속</t>
    </r>
    <r>
      <rPr>
        <sz val="10"/>
        <rFont val="Arial"/>
        <family val="0"/>
        <charset val="1"/>
      </rPr>
      <t xml:space="preserve">).</t>
    </r>
  </si>
  <si>
    <r>
      <rPr>
        <sz val="10"/>
        <rFont val="Noto Sans CJK SC"/>
        <family val="2"/>
      </rPr>
      <t xml:space="preserve">검토 메모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로봇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첨단제조 사업계획서 맥락에서 미리 짚어둔 위험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동음이의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기술용어 오염 등</t>
    </r>
    <r>
      <rPr>
        <sz val="10"/>
        <rFont val="Arial"/>
        <family val="0"/>
        <charset val="1"/>
      </rPr>
      <t xml:space="preserve">).</t>
    </r>
  </si>
  <si>
    <r>
      <rPr>
        <b val="true"/>
        <sz val="10"/>
        <rFont val="Noto Sans CJK SC"/>
        <family val="2"/>
      </rPr>
      <t xml:space="preserve">입력 방법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노란 칸만 편집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</si>
  <si>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평정자</t>
    </r>
    <r>
      <rPr>
        <sz val="10"/>
        <rFont val="Arial"/>
        <family val="0"/>
        <charset val="1"/>
      </rPr>
      <t xml:space="preserve">1~3 </t>
    </r>
    <r>
      <rPr>
        <sz val="10"/>
        <rFont val="Noto Sans CJK SC"/>
        <family val="2"/>
      </rPr>
      <t xml:space="preserve">열에 드롭다운으로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유지</t>
    </r>
    <r>
      <rPr>
        <sz val="10"/>
        <rFont val="Arial"/>
        <family val="0"/>
        <charset val="1"/>
      </rPr>
      <t xml:space="preserve">' / '</t>
    </r>
    <r>
      <rPr>
        <sz val="10"/>
        <rFont val="Noto Sans CJK SC"/>
        <family val="2"/>
      </rPr>
      <t xml:space="preserve">제외</t>
    </r>
    <r>
      <rPr>
        <sz val="10"/>
        <rFont val="Arial"/>
        <family val="0"/>
        <charset val="1"/>
      </rPr>
      <t xml:space="preserve">' / '</t>
    </r>
    <r>
      <rPr>
        <sz val="10"/>
        <rFont val="Noto Sans CJK SC"/>
        <family val="2"/>
      </rPr>
      <t xml:space="preserve">차원변경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중 선택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차원변경이면 비고에 옮길 차원을 적음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</si>
  <si>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만장일치 열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세 명 모두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유지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채택</t>
    </r>
    <r>
      <rPr>
        <sz val="10"/>
        <rFont val="Arial"/>
        <family val="0"/>
        <charset val="1"/>
      </rPr>
      <t xml:space="preserve">', </t>
    </r>
    <r>
      <rPr>
        <sz val="10"/>
        <rFont val="Noto Sans CJK SC"/>
        <family val="2"/>
      </rPr>
      <t xml:space="preserve">한 명이라도 다르면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제외</t>
    </r>
    <r>
      <rPr>
        <sz val="10"/>
        <rFont val="Arial"/>
        <family val="0"/>
        <charset val="1"/>
      </rPr>
      <t xml:space="preserve">', </t>
    </r>
    <r>
      <rPr>
        <sz val="10"/>
        <rFont val="Noto Sans CJK SC"/>
        <family val="2"/>
      </rPr>
      <t xml:space="preserve">미입력이면 빈칸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원 논문의 만장일치 규칙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외부 전문가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명을 더하려면 열을 추가해 같은 규칙으로 확장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</si>
  <si>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입력 예시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평정자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유지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평정자</t>
    </r>
    <r>
      <rPr>
        <sz val="10"/>
        <rFont val="Arial"/>
        <family val="0"/>
        <charset val="1"/>
      </rPr>
      <t xml:space="preserve">2=</t>
    </r>
    <r>
      <rPr>
        <sz val="10"/>
        <rFont val="Noto Sans CJK SC"/>
        <family val="2"/>
      </rPr>
      <t xml:space="preserve">유지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평정자</t>
    </r>
    <r>
      <rPr>
        <sz val="10"/>
        <rFont val="Arial"/>
        <family val="0"/>
        <charset val="1"/>
      </rPr>
      <t xml:space="preserve">3=</t>
    </r>
    <r>
      <rPr>
        <sz val="10"/>
        <rFont val="Noto Sans CJK SC"/>
        <family val="2"/>
      </rPr>
      <t xml:space="preserve">제외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비고</t>
    </r>
    <r>
      <rPr>
        <sz val="10"/>
        <rFont val="Arial"/>
        <family val="0"/>
        <charset val="1"/>
      </rPr>
      <t xml:space="preserve">='</t>
    </r>
    <r>
      <rPr>
        <sz val="10"/>
        <rFont val="Noto Sans CJK SC"/>
        <family val="2"/>
      </rPr>
      <t xml:space="preserve">제조 맥락에서 </t>
    </r>
    <r>
      <rPr>
        <sz val="10"/>
        <rFont val="Arial"/>
        <family val="0"/>
        <charset val="1"/>
      </rPr>
      <t xml:space="preserve">logos' → </t>
    </r>
    <r>
      <rPr>
        <sz val="10"/>
        <rFont val="Noto Sans CJK SC"/>
        <family val="2"/>
      </rPr>
      <t xml:space="preserve">만장일치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제외</t>
    </r>
  </si>
  <si>
    <t xml:space="preserve">No</t>
  </si>
  <si>
    <t xml:space="preserve">차원</t>
  </si>
  <si>
    <r>
      <rPr>
        <b val="true"/>
        <sz val="11"/>
        <color rgb="FFFFFFFF"/>
        <rFont val="Noto Sans CJK SC"/>
        <family val="2"/>
      </rPr>
      <t xml:space="preserve">테마</t>
    </r>
    <r>
      <rPr>
        <b val="true"/>
        <sz val="11"/>
        <color rgb="FFFFFFFF"/>
        <rFont val="Arial"/>
        <family val="0"/>
        <charset val="1"/>
      </rPr>
      <t xml:space="preserve">(Table II)</t>
    </r>
  </si>
  <si>
    <r>
      <rPr>
        <b val="true"/>
        <sz val="11"/>
        <color rgb="FFFFFFFF"/>
        <rFont val="Noto Sans CJK SC"/>
        <family val="2"/>
      </rPr>
      <t xml:space="preserve">원어</t>
    </r>
    <r>
      <rPr>
        <b val="true"/>
        <sz val="11"/>
        <color rgb="FFFFFFFF"/>
        <rFont val="Arial"/>
        <family val="0"/>
        <charset val="1"/>
      </rPr>
      <t xml:space="preserve">(Table II)</t>
    </r>
  </si>
  <si>
    <t xml:space="preserve">한국어 후보</t>
  </si>
  <si>
    <r>
      <rPr>
        <b val="true"/>
        <sz val="11"/>
        <color rgb="FFFFFFFF"/>
        <rFont val="Noto Sans CJK SC"/>
        <family val="2"/>
      </rPr>
      <t xml:space="preserve">형태소 분석</t>
    </r>
    <r>
      <rPr>
        <b val="true"/>
        <sz val="11"/>
        <color rgb="FFFFFFFF"/>
        <rFont val="Arial"/>
        <family val="0"/>
        <charset val="1"/>
      </rPr>
      <t xml:space="preserve">(Kiwi)</t>
    </r>
  </si>
  <si>
    <t xml:space="preserve">매칭 키</t>
  </si>
  <si>
    <t xml:space="preserve">자동 플래그</t>
  </si>
  <si>
    <t xml:space="preserve">검토 메모</t>
  </si>
  <si>
    <r>
      <rPr>
        <b val="true"/>
        <sz val="11"/>
        <color rgb="FFFFFFFF"/>
        <rFont val="Noto Sans CJK SC"/>
        <family val="2"/>
      </rPr>
      <t xml:space="preserve">평정자</t>
    </r>
    <r>
      <rPr>
        <b val="true"/>
        <sz val="11"/>
        <color rgb="FFFFFFFF"/>
        <rFont val="Arial"/>
        <family val="0"/>
        <charset val="1"/>
      </rPr>
      <t xml:space="preserve">1</t>
    </r>
  </si>
  <si>
    <r>
      <rPr>
        <b val="true"/>
        <sz val="11"/>
        <color rgb="FFFFFFFF"/>
        <rFont val="Noto Sans CJK SC"/>
        <family val="2"/>
      </rPr>
      <t xml:space="preserve">평정자</t>
    </r>
    <r>
      <rPr>
        <b val="true"/>
        <sz val="11"/>
        <color rgb="FFFFFFFF"/>
        <rFont val="Arial"/>
        <family val="0"/>
        <charset val="1"/>
      </rPr>
      <t xml:space="preserve">2</t>
    </r>
  </si>
  <si>
    <r>
      <rPr>
        <b val="true"/>
        <sz val="11"/>
        <color rgb="FFFFFFFF"/>
        <rFont val="Noto Sans CJK SC"/>
        <family val="2"/>
      </rPr>
      <t xml:space="preserve">평정자</t>
    </r>
    <r>
      <rPr>
        <b val="true"/>
        <sz val="11"/>
        <color rgb="FFFFFFFF"/>
        <rFont val="Arial"/>
        <family val="0"/>
        <charset val="1"/>
      </rPr>
      <t xml:space="preserve">3</t>
    </r>
  </si>
  <si>
    <t xml:space="preserve">만장일치</t>
  </si>
  <si>
    <t xml:space="preserve">비고</t>
  </si>
  <si>
    <r>
      <rPr>
        <sz val="10"/>
        <rFont val="Arial"/>
        <family val="0"/>
        <charset val="1"/>
      </rPr>
      <t xml:space="preserve">Logos(</t>
    </r>
    <r>
      <rPr>
        <sz val="10"/>
        <rFont val="Noto Sans CJK SC"/>
        <family val="2"/>
      </rPr>
      <t xml:space="preserve">논리</t>
    </r>
    <r>
      <rPr>
        <sz val="10"/>
        <rFont val="Arial"/>
        <family val="0"/>
        <charset val="1"/>
      </rPr>
      <t xml:space="preserve">)</t>
    </r>
  </si>
  <si>
    <t xml:space="preserve">logic</t>
  </si>
  <si>
    <t xml:space="preserve">논리</t>
  </si>
  <si>
    <r>
      <rPr>
        <sz val="10"/>
        <rFont val="Noto Sans CJK SC"/>
        <family val="2"/>
      </rPr>
      <t xml:space="preserve">논리</t>
    </r>
    <r>
      <rPr>
        <sz val="10"/>
        <rFont val="Arial"/>
        <family val="0"/>
        <charset val="1"/>
      </rPr>
      <t xml:space="preserve">/NNG</t>
    </r>
  </si>
  <si>
    <t xml:space="preserve">reason</t>
  </si>
  <si>
    <t xml:space="preserve">근거</t>
  </si>
  <si>
    <r>
      <rPr>
        <sz val="10"/>
        <rFont val="Noto Sans CJK SC"/>
        <family val="2"/>
      </rPr>
      <t xml:space="preserve">근거</t>
    </r>
    <r>
      <rPr>
        <sz val="10"/>
        <rFont val="Arial"/>
        <family val="0"/>
        <charset val="1"/>
      </rPr>
      <t xml:space="preserve">/NNG</t>
    </r>
  </si>
  <si>
    <t xml:space="preserve">이유</t>
  </si>
  <si>
    <r>
      <rPr>
        <sz val="10"/>
        <rFont val="Noto Sans CJK SC"/>
        <family val="2"/>
      </rPr>
      <t xml:space="preserve">이유</t>
    </r>
    <r>
      <rPr>
        <sz val="10"/>
        <rFont val="Arial"/>
        <family val="0"/>
        <charset val="1"/>
      </rPr>
      <t xml:space="preserve">/NNG</t>
    </r>
  </si>
  <si>
    <t xml:space="preserve">judicious</t>
  </si>
  <si>
    <t xml:space="preserve">신중</t>
  </si>
  <si>
    <r>
      <rPr>
        <sz val="10"/>
        <rFont val="Noto Sans CJK SC"/>
        <family val="2"/>
      </rPr>
      <t xml:space="preserve">신중</t>
    </r>
    <r>
      <rPr>
        <sz val="10"/>
        <rFont val="Arial"/>
        <family val="0"/>
        <charset val="1"/>
      </rPr>
      <t xml:space="preserve">/NNG</t>
    </r>
  </si>
  <si>
    <r>
      <rPr>
        <sz val="10"/>
        <rFont val="Noto Sans CJK SC"/>
        <family val="2"/>
      </rPr>
      <t xml:space="preserve">차원충돌</t>
    </r>
    <r>
      <rPr>
        <sz val="10"/>
        <rFont val="Arial"/>
        <family val="0"/>
        <charset val="1"/>
      </rPr>
      <t xml:space="preserve">:ethos·logos·pathos</t>
    </r>
  </si>
  <si>
    <r>
      <rPr>
        <sz val="10"/>
        <rFont val="Arial"/>
        <family val="0"/>
        <charset val="1"/>
      </rPr>
      <t xml:space="preserve">logos(judicious)·pathos(cautious)·ethos(prudence, discreet)</t>
    </r>
    <r>
      <rPr>
        <sz val="10"/>
        <rFont val="Noto Sans CJK SC"/>
        <family val="2"/>
      </rPr>
      <t xml:space="preserve">에 모두 대응 → 차원 배정 평정 필요</t>
    </r>
  </si>
  <si>
    <t xml:space="preserve">logistic</t>
  </si>
  <si>
    <t xml:space="preserve">물류</t>
  </si>
  <si>
    <r>
      <rPr>
        <sz val="10"/>
        <rFont val="Noto Sans CJK SC"/>
        <family val="2"/>
      </rPr>
      <t xml:space="preserve">물류</t>
    </r>
    <r>
      <rPr>
        <sz val="10"/>
        <rFont val="Arial"/>
        <family val="0"/>
        <charset val="1"/>
      </rPr>
      <t xml:space="preserve">/NNG</t>
    </r>
  </si>
  <si>
    <t xml:space="preserve">politic</t>
  </si>
  <si>
    <t xml:space="preserve">타당</t>
  </si>
  <si>
    <r>
      <rPr>
        <sz val="10"/>
        <rFont val="Noto Sans CJK SC"/>
        <family val="2"/>
      </rPr>
      <t xml:space="preserve">타당</t>
    </r>
    <r>
      <rPr>
        <sz val="10"/>
        <rFont val="Arial"/>
        <family val="0"/>
        <charset val="1"/>
      </rPr>
      <t xml:space="preserve">/NNG</t>
    </r>
  </si>
  <si>
    <t xml:space="preserve">astute</t>
  </si>
  <si>
    <t xml:space="preserve">예리</t>
  </si>
  <si>
    <r>
      <rPr>
        <sz val="10"/>
        <rFont val="Noto Sans CJK SC"/>
        <family val="2"/>
      </rPr>
      <t xml:space="preserve">예리</t>
    </r>
    <r>
      <rPr>
        <sz val="10"/>
        <rFont val="Arial"/>
        <family val="0"/>
        <charset val="1"/>
      </rPr>
      <t xml:space="preserve">/NNP</t>
    </r>
  </si>
  <si>
    <r>
      <rPr>
        <sz val="10"/>
        <rFont val="Noto Sans CJK SC"/>
        <family val="2"/>
      </rPr>
      <t xml:space="preserve">차원충돌</t>
    </r>
    <r>
      <rPr>
        <sz val="10"/>
        <rFont val="Arial"/>
        <family val="0"/>
        <charset val="1"/>
      </rPr>
      <t xml:space="preserve">:ethos·logos</t>
    </r>
  </si>
  <si>
    <t xml:space="preserve">infer</t>
  </si>
  <si>
    <t xml:space="preserve">추론</t>
  </si>
  <si>
    <r>
      <rPr>
        <sz val="10"/>
        <rFont val="Noto Sans CJK SC"/>
        <family val="2"/>
      </rPr>
      <t xml:space="preserve">추론</t>
    </r>
    <r>
      <rPr>
        <sz val="10"/>
        <rFont val="Arial"/>
        <family val="0"/>
        <charset val="1"/>
      </rPr>
      <t xml:space="preserve">/NNG</t>
    </r>
  </si>
  <si>
    <t xml:space="preserve">cogent</t>
  </si>
  <si>
    <t xml:space="preserve">설득력</t>
  </si>
  <si>
    <r>
      <rPr>
        <sz val="10"/>
        <rFont val="Noto Sans CJK SC"/>
        <family val="2"/>
      </rPr>
      <t xml:space="preserve">설득력</t>
    </r>
    <r>
      <rPr>
        <sz val="10"/>
        <rFont val="Arial"/>
        <family val="0"/>
        <charset val="1"/>
      </rPr>
      <t xml:space="preserve">/NNG</t>
    </r>
  </si>
  <si>
    <t xml:space="preserve">synthesis</t>
  </si>
  <si>
    <t xml:space="preserve">종합</t>
  </si>
  <si>
    <r>
      <rPr>
        <sz val="10"/>
        <rFont val="Noto Sans CJK SC"/>
        <family val="2"/>
      </rPr>
      <t xml:space="preserve">종합</t>
    </r>
    <r>
      <rPr>
        <sz val="10"/>
        <rFont val="Arial"/>
        <family val="0"/>
        <charset val="1"/>
      </rPr>
      <t xml:space="preserve">/NNG</t>
    </r>
  </si>
  <si>
    <t xml:space="preserve">sane</t>
  </si>
  <si>
    <t xml:space="preserve">건전</t>
  </si>
  <si>
    <r>
      <rPr>
        <sz val="10"/>
        <rFont val="Noto Sans CJK SC"/>
        <family val="2"/>
      </rPr>
      <t xml:space="preserve">건전</t>
    </r>
    <r>
      <rPr>
        <sz val="10"/>
        <rFont val="Arial"/>
        <family val="0"/>
        <charset val="1"/>
      </rPr>
      <t xml:space="preserve">/NNG</t>
    </r>
  </si>
  <si>
    <r>
      <rPr>
        <sz val="10"/>
        <rFont val="Arial"/>
        <family val="0"/>
        <charset val="1"/>
      </rPr>
      <t xml:space="preserve">logos(sane)·ethos(wholesome) </t>
    </r>
    <r>
      <rPr>
        <sz val="10"/>
        <rFont val="Noto Sans CJK SC"/>
        <family val="2"/>
      </rPr>
      <t xml:space="preserve">양쪽</t>
    </r>
    <r>
      <rPr>
        <sz val="10"/>
        <rFont val="Arial"/>
        <family val="0"/>
        <charset val="1"/>
      </rPr>
      <t xml:space="preserve">; '</t>
    </r>
    <r>
      <rPr>
        <sz val="10"/>
        <rFont val="Noto Sans CJK SC"/>
        <family val="2"/>
      </rPr>
      <t xml:space="preserve">재무 건전성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은 </t>
    </r>
    <r>
      <rPr>
        <sz val="10"/>
        <rFont val="Arial"/>
        <family val="0"/>
        <charset val="1"/>
      </rPr>
      <t xml:space="preserve">logos</t>
    </r>
  </si>
  <si>
    <t xml:space="preserve">sound-judgment</t>
  </si>
  <si>
    <t xml:space="preserve">건전한 판단</t>
  </si>
  <si>
    <r>
      <rPr>
        <sz val="10"/>
        <rFont val="Noto Sans CJK SC"/>
        <family val="2"/>
      </rPr>
      <t xml:space="preserve">건전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하</t>
    </r>
    <r>
      <rPr>
        <sz val="10"/>
        <rFont val="Arial"/>
        <family val="0"/>
        <charset val="1"/>
      </rPr>
      <t xml:space="preserve">/XSA + </t>
    </r>
    <r>
      <rPr>
        <sz val="10"/>
        <rFont val="Noto Sans CJK SC"/>
        <family val="2"/>
      </rPr>
      <t xml:space="preserve">ᆫ</t>
    </r>
    <r>
      <rPr>
        <sz val="10"/>
        <rFont val="Arial"/>
        <family val="0"/>
        <charset val="1"/>
      </rPr>
      <t xml:space="preserve">/ETM + </t>
    </r>
    <r>
      <rPr>
        <sz val="10"/>
        <rFont val="Noto Sans CJK SC"/>
        <family val="2"/>
      </rPr>
      <t xml:space="preserve">판단</t>
    </r>
    <r>
      <rPr>
        <sz val="10"/>
        <rFont val="Arial"/>
        <family val="0"/>
        <charset val="1"/>
      </rPr>
      <t xml:space="preserve">/NNG</t>
    </r>
  </si>
  <si>
    <r>
      <rPr>
        <sz val="10"/>
        <rFont val="Noto Sans CJK SC"/>
        <family val="2"/>
      </rPr>
      <t xml:space="preserve">건전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판단</t>
    </r>
    <r>
      <rPr>
        <sz val="10"/>
        <rFont val="Arial"/>
        <family val="0"/>
        <charset val="1"/>
      </rPr>
      <t xml:space="preserve">/NNG</t>
    </r>
  </si>
  <si>
    <r>
      <rPr>
        <sz val="10"/>
        <rFont val="Noto Sans CJK SC"/>
        <family val="2"/>
      </rPr>
      <t xml:space="preserve">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句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매칭</t>
    </r>
  </si>
  <si>
    <t xml:space="preserve">good-sense</t>
  </si>
  <si>
    <t xml:space="preserve">양식</t>
  </si>
  <si>
    <r>
      <rPr>
        <sz val="10"/>
        <rFont val="Noto Sans CJK SC"/>
        <family val="2"/>
      </rPr>
      <t xml:space="preserve">양식</t>
    </r>
    <r>
      <rPr>
        <sz val="10"/>
        <rFont val="Arial"/>
        <family val="0"/>
        <charset val="1"/>
      </rPr>
      <t xml:space="preserve">/NNG</t>
    </r>
  </si>
  <si>
    <t xml:space="preserve">sober</t>
  </si>
  <si>
    <t xml:space="preserve">냉철</t>
  </si>
  <si>
    <r>
      <rPr>
        <sz val="10"/>
        <rFont val="Noto Sans CJK SC"/>
        <family val="2"/>
      </rPr>
      <t xml:space="preserve">냉철</t>
    </r>
    <r>
      <rPr>
        <sz val="10"/>
        <rFont val="Arial"/>
        <family val="0"/>
        <charset val="1"/>
      </rPr>
      <t xml:space="preserve">/XR</t>
    </r>
  </si>
  <si>
    <t xml:space="preserve">presence-of-mind</t>
  </si>
  <si>
    <t xml:space="preserve">침착</t>
  </si>
  <si>
    <r>
      <rPr>
        <sz val="10"/>
        <rFont val="Noto Sans CJK SC"/>
        <family val="2"/>
      </rPr>
      <t xml:space="preserve">침착</t>
    </r>
    <r>
      <rPr>
        <sz val="10"/>
        <rFont val="Arial"/>
        <family val="0"/>
        <charset val="1"/>
      </rPr>
      <t xml:space="preserve">/NNG</t>
    </r>
  </si>
  <si>
    <t xml:space="preserve">analytic</t>
  </si>
  <si>
    <t xml:space="preserve">분석</t>
  </si>
  <si>
    <r>
      <rPr>
        <sz val="10"/>
        <rFont val="Noto Sans CJK SC"/>
        <family val="2"/>
      </rPr>
      <t xml:space="preserve">분석</t>
    </r>
    <r>
      <rPr>
        <sz val="10"/>
        <rFont val="Arial"/>
        <family val="0"/>
        <charset val="1"/>
      </rPr>
      <t xml:space="preserve">/NNG</t>
    </r>
  </si>
  <si>
    <t xml:space="preserve">차원내 중복</t>
  </si>
  <si>
    <t xml:space="preserve">common-sense</t>
  </si>
  <si>
    <t xml:space="preserve">상식</t>
  </si>
  <si>
    <r>
      <rPr>
        <sz val="10"/>
        <rFont val="Noto Sans CJK SC"/>
        <family val="2"/>
      </rPr>
      <t xml:space="preserve">상식</t>
    </r>
    <r>
      <rPr>
        <sz val="10"/>
        <rFont val="Arial"/>
        <family val="0"/>
        <charset val="1"/>
      </rPr>
      <t xml:space="preserve">/NNG</t>
    </r>
  </si>
  <si>
    <t xml:space="preserve">deductive</t>
  </si>
  <si>
    <t xml:space="preserve">연역</t>
  </si>
  <si>
    <r>
      <rPr>
        <sz val="10"/>
        <rFont val="Noto Sans CJK SC"/>
        <family val="2"/>
      </rPr>
      <t xml:space="preserve">연역</t>
    </r>
    <r>
      <rPr>
        <sz val="10"/>
        <rFont val="Arial"/>
        <family val="0"/>
        <charset val="1"/>
      </rPr>
      <t xml:space="preserve">/NNG</t>
    </r>
  </si>
  <si>
    <t xml:space="preserve">inductive</t>
  </si>
  <si>
    <t xml:space="preserve">귀납</t>
  </si>
  <si>
    <r>
      <rPr>
        <sz val="10"/>
        <rFont val="Noto Sans CJK SC"/>
        <family val="2"/>
      </rPr>
      <t xml:space="preserve">귀납</t>
    </r>
    <r>
      <rPr>
        <sz val="10"/>
        <rFont val="Arial"/>
        <family val="0"/>
        <charset val="1"/>
      </rPr>
      <t xml:space="preserve">/NNG</t>
    </r>
  </si>
  <si>
    <t xml:space="preserve">consequence</t>
  </si>
  <si>
    <t xml:space="preserve">결과</t>
  </si>
  <si>
    <r>
      <rPr>
        <sz val="10"/>
        <rFont val="Noto Sans CJK SC"/>
        <family val="2"/>
      </rPr>
      <t xml:space="preserve">결과</t>
    </r>
    <r>
      <rPr>
        <sz val="10"/>
        <rFont val="Arial"/>
        <family val="0"/>
        <charset val="1"/>
      </rPr>
      <t xml:space="preserve">/NNG</t>
    </r>
  </si>
  <si>
    <t xml:space="preserve">rational</t>
  </si>
  <si>
    <t xml:space="preserve">합리</t>
  </si>
  <si>
    <r>
      <rPr>
        <sz val="10"/>
        <rFont val="Noto Sans CJK SC"/>
        <family val="2"/>
      </rPr>
      <t xml:space="preserve">합리</t>
    </r>
    <r>
      <rPr>
        <sz val="10"/>
        <rFont val="Arial"/>
        <family val="0"/>
        <charset val="1"/>
      </rPr>
      <t xml:space="preserve">/NNG</t>
    </r>
  </si>
  <si>
    <t xml:space="preserve">practical</t>
  </si>
  <si>
    <t xml:space="preserve">실용</t>
  </si>
  <si>
    <r>
      <rPr>
        <sz val="10"/>
        <rFont val="Noto Sans CJK SC"/>
        <family val="2"/>
      </rPr>
      <t xml:space="preserve">실용</t>
    </r>
    <r>
      <rPr>
        <sz val="10"/>
        <rFont val="Arial"/>
        <family val="0"/>
        <charset val="1"/>
      </rPr>
      <t xml:space="preserve">/NNG</t>
    </r>
  </si>
  <si>
    <t xml:space="preserve">실질</t>
  </si>
  <si>
    <r>
      <rPr>
        <sz val="10"/>
        <rFont val="Noto Sans CJK SC"/>
        <family val="2"/>
      </rPr>
      <t xml:space="preserve">실질</t>
    </r>
    <r>
      <rPr>
        <sz val="10"/>
        <rFont val="Arial"/>
        <family val="0"/>
        <charset val="1"/>
      </rPr>
      <t xml:space="preserve">/NNG</t>
    </r>
  </si>
  <si>
    <t xml:space="preserve">pragmatic</t>
  </si>
  <si>
    <t xml:space="preserve">실용적</t>
  </si>
  <si>
    <r>
      <rPr>
        <sz val="10"/>
        <rFont val="Noto Sans CJK SC"/>
        <family val="2"/>
      </rPr>
      <t xml:space="preserve">실용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적</t>
    </r>
    <r>
      <rPr>
        <sz val="10"/>
        <rFont val="Arial"/>
        <family val="0"/>
        <charset val="1"/>
      </rPr>
      <t xml:space="preserve">/XSN</t>
    </r>
  </si>
  <si>
    <t xml:space="preserve">sensible</t>
  </si>
  <si>
    <t xml:space="preserve">합당</t>
  </si>
  <si>
    <r>
      <rPr>
        <sz val="10"/>
        <rFont val="Noto Sans CJK SC"/>
        <family val="2"/>
      </rPr>
      <t xml:space="preserve">합당</t>
    </r>
    <r>
      <rPr>
        <sz val="10"/>
        <rFont val="Arial"/>
        <family val="0"/>
        <charset val="1"/>
      </rPr>
      <t xml:space="preserve">/NNG</t>
    </r>
  </si>
  <si>
    <t xml:space="preserve">advisable</t>
  </si>
  <si>
    <t xml:space="preserve">바람직</t>
  </si>
  <si>
    <r>
      <rPr>
        <sz val="10"/>
        <rFont val="Noto Sans CJK SC"/>
        <family val="2"/>
      </rPr>
      <t xml:space="preserve">바람직</t>
    </r>
    <r>
      <rPr>
        <sz val="10"/>
        <rFont val="Arial"/>
        <family val="0"/>
        <charset val="1"/>
      </rPr>
      <t xml:space="preserve">/XR</t>
    </r>
  </si>
  <si>
    <t xml:space="preserve">well-advised</t>
  </si>
  <si>
    <t xml:space="preserve">적절한 판단</t>
  </si>
  <si>
    <r>
      <rPr>
        <sz val="10"/>
        <rFont val="Noto Sans CJK SC"/>
        <family val="2"/>
      </rPr>
      <t xml:space="preserve">적절</t>
    </r>
    <r>
      <rPr>
        <sz val="10"/>
        <rFont val="Arial"/>
        <family val="0"/>
        <charset val="1"/>
      </rPr>
      <t xml:space="preserve">/XR + </t>
    </r>
    <r>
      <rPr>
        <sz val="10"/>
        <rFont val="Noto Sans CJK SC"/>
        <family val="2"/>
      </rPr>
      <t xml:space="preserve">하</t>
    </r>
    <r>
      <rPr>
        <sz val="10"/>
        <rFont val="Arial"/>
        <family val="0"/>
        <charset val="1"/>
      </rPr>
      <t xml:space="preserve">/XSA + </t>
    </r>
    <r>
      <rPr>
        <sz val="10"/>
        <rFont val="Noto Sans CJK SC"/>
        <family val="2"/>
      </rPr>
      <t xml:space="preserve">ᆫ</t>
    </r>
    <r>
      <rPr>
        <sz val="10"/>
        <rFont val="Arial"/>
        <family val="0"/>
        <charset val="1"/>
      </rPr>
      <t xml:space="preserve">/ETM + </t>
    </r>
    <r>
      <rPr>
        <sz val="10"/>
        <rFont val="Noto Sans CJK SC"/>
        <family val="2"/>
      </rPr>
      <t xml:space="preserve">판단</t>
    </r>
    <r>
      <rPr>
        <sz val="10"/>
        <rFont val="Arial"/>
        <family val="0"/>
        <charset val="1"/>
      </rPr>
      <t xml:space="preserve">/NNG</t>
    </r>
  </si>
  <si>
    <r>
      <rPr>
        <sz val="10"/>
        <rFont val="Noto Sans CJK SC"/>
        <family val="2"/>
      </rPr>
      <t xml:space="preserve">적절</t>
    </r>
    <r>
      <rPr>
        <sz val="10"/>
        <rFont val="Arial"/>
        <family val="0"/>
        <charset val="1"/>
      </rPr>
      <t xml:space="preserve">/XR + </t>
    </r>
    <r>
      <rPr>
        <sz val="10"/>
        <rFont val="Noto Sans CJK SC"/>
        <family val="2"/>
      </rPr>
      <t xml:space="preserve">판단</t>
    </r>
    <r>
      <rPr>
        <sz val="10"/>
        <rFont val="Arial"/>
        <family val="0"/>
        <charset val="1"/>
      </rPr>
      <t xml:space="preserve">/NNG</t>
    </r>
  </si>
  <si>
    <t xml:space="preserve">well-argued</t>
  </si>
  <si>
    <t xml:space="preserve">논거</t>
  </si>
  <si>
    <r>
      <rPr>
        <sz val="10"/>
        <rFont val="Noto Sans CJK SC"/>
        <family val="2"/>
      </rPr>
      <t xml:space="preserve">논거</t>
    </r>
    <r>
      <rPr>
        <sz val="10"/>
        <rFont val="Arial"/>
        <family val="0"/>
        <charset val="1"/>
      </rPr>
      <t xml:space="preserve">/NNG</t>
    </r>
  </si>
  <si>
    <t xml:space="preserve">well-grounded</t>
  </si>
  <si>
    <t xml:space="preserve">근거 탄탄</t>
  </si>
  <si>
    <r>
      <rPr>
        <sz val="10"/>
        <rFont val="Noto Sans CJK SC"/>
        <family val="2"/>
      </rPr>
      <t xml:space="preserve">근거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탄탄</t>
    </r>
    <r>
      <rPr>
        <sz val="10"/>
        <rFont val="Arial"/>
        <family val="0"/>
        <charset val="1"/>
      </rPr>
      <t xml:space="preserve">/XR</t>
    </r>
  </si>
  <si>
    <t xml:space="preserve">well-founded</t>
  </si>
  <si>
    <t xml:space="preserve">근거 있는</t>
  </si>
  <si>
    <r>
      <rPr>
        <sz val="10"/>
        <rFont val="Noto Sans CJK SC"/>
        <family val="2"/>
      </rPr>
      <t xml:space="preserve">근거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있</t>
    </r>
    <r>
      <rPr>
        <sz val="10"/>
        <rFont val="Arial"/>
        <family val="0"/>
        <charset val="1"/>
      </rPr>
      <t xml:space="preserve">/VA + </t>
    </r>
    <r>
      <rPr>
        <sz val="10"/>
        <rFont val="Noto Sans CJK SC"/>
        <family val="2"/>
      </rPr>
      <t xml:space="preserve">는</t>
    </r>
    <r>
      <rPr>
        <sz val="10"/>
        <rFont val="Arial"/>
        <family val="0"/>
        <charset val="1"/>
      </rPr>
      <t xml:space="preserve">/ETM</t>
    </r>
  </si>
  <si>
    <r>
      <rPr>
        <sz val="10"/>
        <rFont val="Noto Sans CJK SC"/>
        <family val="2"/>
      </rPr>
      <t xml:space="preserve">근거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있</t>
    </r>
    <r>
      <rPr>
        <sz val="10"/>
        <rFont val="Arial"/>
        <family val="0"/>
        <charset val="1"/>
      </rPr>
      <t xml:space="preserve">/VA</t>
    </r>
  </si>
  <si>
    <t xml:space="preserve">plausible</t>
  </si>
  <si>
    <t xml:space="preserve">타당성</t>
  </si>
  <si>
    <r>
      <rPr>
        <sz val="10"/>
        <rFont val="Noto Sans CJK SC"/>
        <family val="2"/>
      </rPr>
      <t xml:space="preserve">타당성</t>
    </r>
    <r>
      <rPr>
        <sz val="10"/>
        <rFont val="Arial"/>
        <family val="0"/>
        <charset val="1"/>
      </rPr>
      <t xml:space="preserve">/NNG</t>
    </r>
  </si>
  <si>
    <t xml:space="preserve">efficiency</t>
  </si>
  <si>
    <t xml:space="preserve">효율</t>
  </si>
  <si>
    <r>
      <rPr>
        <sz val="10"/>
        <rFont val="Noto Sans CJK SC"/>
        <family val="2"/>
      </rPr>
      <t xml:space="preserve">효율</t>
    </r>
    <r>
      <rPr>
        <sz val="10"/>
        <rFont val="Arial"/>
        <family val="0"/>
        <charset val="1"/>
      </rPr>
      <t xml:space="preserve">/NNG</t>
    </r>
  </si>
  <si>
    <t xml:space="preserve">yield</t>
  </si>
  <si>
    <t xml:space="preserve">수율</t>
  </si>
  <si>
    <r>
      <rPr>
        <sz val="10"/>
        <rFont val="Noto Sans CJK SC"/>
        <family val="2"/>
      </rPr>
      <t xml:space="preserve">수율</t>
    </r>
    <r>
      <rPr>
        <sz val="10"/>
        <rFont val="Arial"/>
        <family val="0"/>
        <charset val="1"/>
      </rPr>
      <t xml:space="preserve">/NNG</t>
    </r>
  </si>
  <si>
    <r>
      <rPr>
        <sz val="10"/>
        <rFont val="Arial"/>
        <family val="0"/>
        <charset val="1"/>
      </rPr>
      <t xml:space="preserve">yield. </t>
    </r>
    <r>
      <rPr>
        <sz val="10"/>
        <rFont val="Noto Sans CJK SC"/>
        <family val="2"/>
      </rPr>
      <t xml:space="preserve">제조업 핵심 지표 → </t>
    </r>
    <r>
      <rPr>
        <sz val="10"/>
        <rFont val="Arial"/>
        <family val="0"/>
        <charset val="1"/>
      </rPr>
      <t xml:space="preserve">logos</t>
    </r>
  </si>
  <si>
    <t xml:space="preserve">수익률</t>
  </si>
  <si>
    <r>
      <rPr>
        <sz val="10"/>
        <rFont val="Noto Sans CJK SC"/>
        <family val="2"/>
      </rPr>
      <t xml:space="preserve">수익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률</t>
    </r>
    <r>
      <rPr>
        <sz val="10"/>
        <rFont val="Arial"/>
        <family val="0"/>
        <charset val="1"/>
      </rPr>
      <t xml:space="preserve">/XSN</t>
    </r>
  </si>
  <si>
    <r>
      <rPr>
        <sz val="10"/>
        <rFont val="Noto Sans CJK SC"/>
        <family val="2"/>
      </rPr>
      <t xml:space="preserve">수익</t>
    </r>
    <r>
      <rPr>
        <sz val="10"/>
        <rFont val="Arial"/>
        <family val="0"/>
        <charset val="1"/>
      </rPr>
      <t xml:space="preserve">/NNG</t>
    </r>
  </si>
  <si>
    <t xml:space="preserve">minimum</t>
  </si>
  <si>
    <t xml:space="preserve">최소</t>
  </si>
  <si>
    <r>
      <rPr>
        <sz val="10"/>
        <rFont val="Noto Sans CJK SC"/>
        <family val="2"/>
      </rPr>
      <t xml:space="preserve">최소</t>
    </r>
    <r>
      <rPr>
        <sz val="10"/>
        <rFont val="Arial"/>
        <family val="0"/>
        <charset val="1"/>
      </rPr>
      <t xml:space="preserve">/NNG</t>
    </r>
  </si>
  <si>
    <t xml:space="preserve">maximum</t>
  </si>
  <si>
    <t xml:space="preserve">최대</t>
  </si>
  <si>
    <r>
      <rPr>
        <sz val="10"/>
        <rFont val="Noto Sans CJK SC"/>
        <family val="2"/>
      </rPr>
      <t xml:space="preserve">최대</t>
    </r>
    <r>
      <rPr>
        <sz val="10"/>
        <rFont val="Arial"/>
        <family val="0"/>
        <charset val="1"/>
      </rPr>
      <t xml:space="preserve">/NNG</t>
    </r>
  </si>
  <si>
    <t xml:space="preserve">bargain</t>
  </si>
  <si>
    <t xml:space="preserve">저가</t>
  </si>
  <si>
    <r>
      <rPr>
        <sz val="10"/>
        <rFont val="Noto Sans CJK SC"/>
        <family val="2"/>
      </rPr>
      <t xml:space="preserve">저가</t>
    </r>
    <r>
      <rPr>
        <sz val="10"/>
        <rFont val="Arial"/>
        <family val="0"/>
        <charset val="1"/>
      </rPr>
      <t xml:space="preserve">/NNG</t>
    </r>
  </si>
  <si>
    <t xml:space="preserve">rate</t>
  </si>
  <si>
    <t xml:space="preserve">비율</t>
  </si>
  <si>
    <r>
      <rPr>
        <sz val="10"/>
        <rFont val="Noto Sans CJK SC"/>
        <family val="2"/>
      </rPr>
      <t xml:space="preserve">비율</t>
    </r>
    <r>
      <rPr>
        <sz val="10"/>
        <rFont val="Arial"/>
        <family val="0"/>
        <charset val="1"/>
      </rPr>
      <t xml:space="preserve">/NNG</t>
    </r>
  </si>
  <si>
    <t xml:space="preserve">stabilize</t>
  </si>
  <si>
    <t xml:space="preserve">안정화</t>
  </si>
  <si>
    <r>
      <rPr>
        <sz val="10"/>
        <rFont val="Noto Sans CJK SC"/>
        <family val="2"/>
      </rPr>
      <t xml:space="preserve">안정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화</t>
    </r>
    <r>
      <rPr>
        <sz val="10"/>
        <rFont val="Arial"/>
        <family val="0"/>
        <charset val="1"/>
      </rPr>
      <t xml:space="preserve">/XSN</t>
    </r>
  </si>
  <si>
    <r>
      <rPr>
        <sz val="10"/>
        <rFont val="Noto Sans CJK SC"/>
        <family val="2"/>
      </rPr>
      <t xml:space="preserve">안정</t>
    </r>
    <r>
      <rPr>
        <sz val="10"/>
        <rFont val="Arial"/>
        <family val="0"/>
        <charset val="1"/>
      </rPr>
      <t xml:space="preserve">/NNG</t>
    </r>
  </si>
  <si>
    <t xml:space="preserve">steady</t>
  </si>
  <si>
    <t xml:space="preserve">꾸준</t>
  </si>
  <si>
    <r>
      <rPr>
        <sz val="10"/>
        <rFont val="Noto Sans CJK SC"/>
        <family val="2"/>
      </rPr>
      <t xml:space="preserve">꾸준</t>
    </r>
    <r>
      <rPr>
        <sz val="10"/>
        <rFont val="Arial"/>
        <family val="0"/>
        <charset val="1"/>
      </rPr>
      <t xml:space="preserve">/XR</t>
    </r>
  </si>
  <si>
    <t xml:space="preserve">supply</t>
  </si>
  <si>
    <t xml:space="preserve">공급</t>
  </si>
  <si>
    <r>
      <rPr>
        <sz val="10"/>
        <rFont val="Noto Sans CJK SC"/>
        <family val="2"/>
      </rPr>
      <t xml:space="preserve">공급</t>
    </r>
    <r>
      <rPr>
        <sz val="10"/>
        <rFont val="Arial"/>
        <family val="0"/>
        <charset val="1"/>
      </rPr>
      <t xml:space="preserve">/NNG</t>
    </r>
  </si>
  <si>
    <t xml:space="preserve">reduce</t>
  </si>
  <si>
    <t xml:space="preserve">감소</t>
  </si>
  <si>
    <r>
      <rPr>
        <sz val="10"/>
        <rFont val="Noto Sans CJK SC"/>
        <family val="2"/>
      </rPr>
      <t xml:space="preserve">감소</t>
    </r>
    <r>
      <rPr>
        <sz val="10"/>
        <rFont val="Arial"/>
        <family val="0"/>
        <charset val="1"/>
      </rPr>
      <t xml:space="preserve">/NNG</t>
    </r>
  </si>
  <si>
    <t xml:space="preserve">절감</t>
  </si>
  <si>
    <r>
      <rPr>
        <sz val="10"/>
        <rFont val="Noto Sans CJK SC"/>
        <family val="2"/>
      </rPr>
      <t xml:space="preserve">절감</t>
    </r>
    <r>
      <rPr>
        <sz val="10"/>
        <rFont val="Arial"/>
        <family val="0"/>
        <charset val="1"/>
      </rPr>
      <t xml:space="preserve">/NNG</t>
    </r>
  </si>
  <si>
    <t xml:space="preserve">residual</t>
  </si>
  <si>
    <t xml:space="preserve">잔여</t>
  </si>
  <si>
    <r>
      <rPr>
        <sz val="10"/>
        <rFont val="Noto Sans CJK SC"/>
        <family val="2"/>
      </rPr>
      <t xml:space="preserve">잔여</t>
    </r>
    <r>
      <rPr>
        <sz val="10"/>
        <rFont val="Arial"/>
        <family val="0"/>
        <charset val="1"/>
      </rPr>
      <t xml:space="preserve">/NNG</t>
    </r>
  </si>
  <si>
    <t xml:space="preserve">consolidate</t>
  </si>
  <si>
    <t xml:space="preserve">통합</t>
  </si>
  <si>
    <r>
      <rPr>
        <sz val="10"/>
        <rFont val="Noto Sans CJK SC"/>
        <family val="2"/>
      </rPr>
      <t xml:space="preserve">통합</t>
    </r>
    <r>
      <rPr>
        <sz val="10"/>
        <rFont val="Arial"/>
        <family val="0"/>
        <charset val="1"/>
      </rPr>
      <t xml:space="preserve">/NNG</t>
    </r>
  </si>
  <si>
    <t xml:space="preserve">generate</t>
  </si>
  <si>
    <t xml:space="preserve">창출</t>
  </si>
  <si>
    <r>
      <rPr>
        <sz val="10"/>
        <rFont val="Noto Sans CJK SC"/>
        <family val="2"/>
      </rPr>
      <t xml:space="preserve">창출</t>
    </r>
    <r>
      <rPr>
        <sz val="10"/>
        <rFont val="Arial"/>
        <family val="0"/>
        <charset val="1"/>
      </rPr>
      <t xml:space="preserve">/NNG</t>
    </r>
  </si>
  <si>
    <t xml:space="preserve">생성</t>
  </si>
  <si>
    <r>
      <rPr>
        <sz val="10"/>
        <rFont val="Noto Sans CJK SC"/>
        <family val="2"/>
      </rPr>
      <t xml:space="preserve">생성</t>
    </r>
    <r>
      <rPr>
        <sz val="10"/>
        <rFont val="Arial"/>
        <family val="0"/>
        <charset val="1"/>
      </rPr>
      <t xml:space="preserve">/NNG</t>
    </r>
  </si>
  <si>
    <t xml:space="preserve">qualification</t>
  </si>
  <si>
    <t xml:space="preserve">자격</t>
  </si>
  <si>
    <r>
      <rPr>
        <sz val="10"/>
        <rFont val="Noto Sans CJK SC"/>
        <family val="2"/>
      </rPr>
      <t xml:space="preserve">자격</t>
    </r>
    <r>
      <rPr>
        <sz val="10"/>
        <rFont val="Arial"/>
        <family val="0"/>
        <charset val="1"/>
      </rPr>
      <t xml:space="preserve">/NNG</t>
    </r>
  </si>
  <si>
    <t xml:space="preserve">prepare</t>
  </si>
  <si>
    <t xml:space="preserve">준비</t>
  </si>
  <si>
    <r>
      <rPr>
        <sz val="10"/>
        <rFont val="Noto Sans CJK SC"/>
        <family val="2"/>
      </rPr>
      <t xml:space="preserve">준비</t>
    </r>
    <r>
      <rPr>
        <sz val="10"/>
        <rFont val="Arial"/>
        <family val="0"/>
        <charset val="1"/>
      </rPr>
      <t xml:space="preserve">/NNG</t>
    </r>
  </si>
  <si>
    <t xml:space="preserve">productive</t>
  </si>
  <si>
    <t xml:space="preserve">생산적</t>
  </si>
  <si>
    <r>
      <rPr>
        <sz val="10"/>
        <rFont val="Noto Sans CJK SC"/>
        <family val="2"/>
      </rPr>
      <t xml:space="preserve">생산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적</t>
    </r>
    <r>
      <rPr>
        <sz val="10"/>
        <rFont val="Arial"/>
        <family val="0"/>
        <charset val="1"/>
      </rPr>
      <t xml:space="preserve">/XSN</t>
    </r>
  </si>
  <si>
    <r>
      <rPr>
        <sz val="10"/>
        <rFont val="Noto Sans CJK SC"/>
        <family val="2"/>
      </rPr>
      <t xml:space="preserve">생산</t>
    </r>
    <r>
      <rPr>
        <sz val="10"/>
        <rFont val="Arial"/>
        <family val="0"/>
        <charset val="1"/>
      </rPr>
      <t xml:space="preserve">/NNG</t>
    </r>
  </si>
  <si>
    <t xml:space="preserve">produce</t>
  </si>
  <si>
    <t xml:space="preserve">생산</t>
  </si>
  <si>
    <t xml:space="preserve">adept</t>
  </si>
  <si>
    <t xml:space="preserve">능숙</t>
  </si>
  <si>
    <r>
      <rPr>
        <sz val="10"/>
        <rFont val="Noto Sans CJK SC"/>
        <family val="2"/>
      </rPr>
      <t xml:space="preserve">능숙</t>
    </r>
    <r>
      <rPr>
        <sz val="10"/>
        <rFont val="Arial"/>
        <family val="0"/>
        <charset val="1"/>
      </rPr>
      <t xml:space="preserve">/XR</t>
    </r>
  </si>
  <si>
    <t xml:space="preserve">economic</t>
  </si>
  <si>
    <t xml:space="preserve">경제</t>
  </si>
  <si>
    <r>
      <rPr>
        <sz val="10"/>
        <rFont val="Noto Sans CJK SC"/>
        <family val="2"/>
      </rPr>
      <t xml:space="preserve">경제</t>
    </r>
    <r>
      <rPr>
        <sz val="10"/>
        <rFont val="Arial"/>
        <family val="0"/>
        <charset val="1"/>
      </rPr>
      <t xml:space="preserve">/NNG</t>
    </r>
  </si>
  <si>
    <t xml:space="preserve">metric</t>
  </si>
  <si>
    <t xml:space="preserve">지표</t>
  </si>
  <si>
    <r>
      <rPr>
        <sz val="10"/>
        <rFont val="Noto Sans CJK SC"/>
        <family val="2"/>
      </rPr>
      <t xml:space="preserve">지표</t>
    </r>
    <r>
      <rPr>
        <sz val="10"/>
        <rFont val="Arial"/>
        <family val="0"/>
        <charset val="1"/>
      </rPr>
      <t xml:space="preserve">/NNG</t>
    </r>
  </si>
  <si>
    <t xml:space="preserve">deficiency</t>
  </si>
  <si>
    <t xml:space="preserve">부족</t>
  </si>
  <si>
    <r>
      <rPr>
        <sz val="10"/>
        <rFont val="Noto Sans CJK SC"/>
        <family val="2"/>
      </rPr>
      <t xml:space="preserve">부족</t>
    </r>
    <r>
      <rPr>
        <sz val="10"/>
        <rFont val="Arial"/>
        <family val="0"/>
        <charset val="1"/>
      </rPr>
      <t xml:space="preserve">/NNG</t>
    </r>
  </si>
  <si>
    <t xml:space="preserve">결함</t>
  </si>
  <si>
    <r>
      <rPr>
        <sz val="10"/>
        <rFont val="Noto Sans CJK SC"/>
        <family val="2"/>
      </rPr>
      <t xml:space="preserve">결함</t>
    </r>
    <r>
      <rPr>
        <sz val="10"/>
        <rFont val="Arial"/>
        <family val="0"/>
        <charset val="1"/>
      </rPr>
      <t xml:space="preserve">/NNG</t>
    </r>
  </si>
  <si>
    <t xml:space="preserve">cost</t>
  </si>
  <si>
    <t xml:space="preserve">비용</t>
  </si>
  <si>
    <r>
      <rPr>
        <sz val="10"/>
        <rFont val="Noto Sans CJK SC"/>
        <family val="2"/>
      </rPr>
      <t xml:space="preserve">비용</t>
    </r>
    <r>
      <rPr>
        <sz val="10"/>
        <rFont val="Arial"/>
        <family val="0"/>
        <charset val="1"/>
      </rPr>
      <t xml:space="preserve">/NNG</t>
    </r>
  </si>
  <si>
    <t xml:space="preserve">원가</t>
  </si>
  <si>
    <r>
      <rPr>
        <sz val="10"/>
        <rFont val="Noto Sans CJK SC"/>
        <family val="2"/>
      </rPr>
      <t xml:space="preserve">원가</t>
    </r>
    <r>
      <rPr>
        <sz val="10"/>
        <rFont val="Arial"/>
        <family val="0"/>
        <charset val="1"/>
      </rPr>
      <t xml:space="preserve">/NNG</t>
    </r>
  </si>
  <si>
    <t xml:space="preserve">capacity</t>
  </si>
  <si>
    <t xml:space="preserve">용량</t>
  </si>
  <si>
    <r>
      <rPr>
        <sz val="10"/>
        <rFont val="Noto Sans CJK SC"/>
        <family val="2"/>
      </rPr>
      <t xml:space="preserve">용량</t>
    </r>
    <r>
      <rPr>
        <sz val="10"/>
        <rFont val="Arial"/>
        <family val="0"/>
        <charset val="1"/>
      </rPr>
      <t xml:space="preserve">/NNG</t>
    </r>
  </si>
  <si>
    <t xml:space="preserve">생산능력</t>
  </si>
  <si>
    <r>
      <rPr>
        <sz val="10"/>
        <rFont val="Noto Sans CJK SC"/>
        <family val="2"/>
      </rPr>
      <t xml:space="preserve">생산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능력</t>
    </r>
    <r>
      <rPr>
        <sz val="10"/>
        <rFont val="Arial"/>
        <family val="0"/>
        <charset val="1"/>
      </rPr>
      <t xml:space="preserve">/NNG</t>
    </r>
  </si>
  <si>
    <t xml:space="preserve">effective</t>
  </si>
  <si>
    <t xml:space="preserve">효과</t>
  </si>
  <si>
    <r>
      <rPr>
        <sz val="10"/>
        <rFont val="Noto Sans CJK SC"/>
        <family val="2"/>
      </rPr>
      <t xml:space="preserve">효과</t>
    </r>
    <r>
      <rPr>
        <sz val="10"/>
        <rFont val="Arial"/>
        <family val="0"/>
        <charset val="1"/>
      </rPr>
      <t xml:space="preserve">/NNG</t>
    </r>
  </si>
  <si>
    <r>
      <rPr>
        <sz val="10"/>
        <rFont val="Arial"/>
        <family val="0"/>
        <charset val="1"/>
      </rPr>
      <t xml:space="preserve">effective·effect </t>
    </r>
    <r>
      <rPr>
        <sz val="10"/>
        <rFont val="Noto Sans CJK SC"/>
        <family val="2"/>
      </rPr>
      <t xml:space="preserve">중복 매핑</t>
    </r>
  </si>
  <si>
    <t xml:space="preserve">allowance</t>
  </si>
  <si>
    <t xml:space="preserve">허용</t>
  </si>
  <si>
    <r>
      <rPr>
        <sz val="10"/>
        <rFont val="Noto Sans CJK SC"/>
        <family val="2"/>
      </rPr>
      <t xml:space="preserve">허용</t>
    </r>
    <r>
      <rPr>
        <sz val="10"/>
        <rFont val="Arial"/>
        <family val="0"/>
        <charset val="1"/>
      </rPr>
      <t xml:space="preserve">/NNG</t>
    </r>
  </si>
  <si>
    <t xml:space="preserve">contingent</t>
  </si>
  <si>
    <t xml:space="preserve">조건부</t>
  </si>
  <si>
    <r>
      <rPr>
        <sz val="10"/>
        <rFont val="Noto Sans CJK SC"/>
        <family val="2"/>
      </rPr>
      <t xml:space="preserve">조건부</t>
    </r>
    <r>
      <rPr>
        <sz val="10"/>
        <rFont val="Arial"/>
        <family val="0"/>
        <charset val="1"/>
      </rPr>
      <t xml:space="preserve">/NNG</t>
    </r>
  </si>
  <si>
    <t xml:space="preserve">award</t>
  </si>
  <si>
    <t xml:space="preserve">수상</t>
  </si>
  <si>
    <r>
      <rPr>
        <sz val="10"/>
        <rFont val="Noto Sans CJK SC"/>
        <family val="2"/>
      </rPr>
      <t xml:space="preserve">수상</t>
    </r>
    <r>
      <rPr>
        <sz val="10"/>
        <rFont val="Arial"/>
        <family val="0"/>
        <charset val="1"/>
      </rPr>
      <t xml:space="preserve">/NNG</t>
    </r>
  </si>
  <si>
    <t xml:space="preserve">reward</t>
  </si>
  <si>
    <t xml:space="preserve">보상</t>
  </si>
  <si>
    <r>
      <rPr>
        <sz val="10"/>
        <rFont val="Noto Sans CJK SC"/>
        <family val="2"/>
      </rPr>
      <t xml:space="preserve">보상</t>
    </r>
    <r>
      <rPr>
        <sz val="10"/>
        <rFont val="Arial"/>
        <family val="0"/>
        <charset val="1"/>
      </rPr>
      <t xml:space="preserve">/NNG</t>
    </r>
  </si>
  <si>
    <r>
      <rPr>
        <sz val="10"/>
        <rFont val="Arial"/>
        <family val="0"/>
        <charset val="1"/>
      </rPr>
      <t xml:space="preserve">reward·recompense </t>
    </r>
    <r>
      <rPr>
        <sz val="10"/>
        <rFont val="Noto Sans CJK SC"/>
        <family val="2"/>
      </rPr>
      <t xml:space="preserve">중복</t>
    </r>
  </si>
  <si>
    <t xml:space="preserve">eligible</t>
  </si>
  <si>
    <t xml:space="preserve">자격요건</t>
  </si>
  <si>
    <r>
      <rPr>
        <sz val="10"/>
        <rFont val="Noto Sans CJK SC"/>
        <family val="2"/>
      </rPr>
      <t xml:space="preserve">자격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요건</t>
    </r>
    <r>
      <rPr>
        <sz val="10"/>
        <rFont val="Arial"/>
        <family val="0"/>
        <charset val="1"/>
      </rPr>
      <t xml:space="preserve">/NNG</t>
    </r>
  </si>
  <si>
    <t xml:space="preserve">realize</t>
  </si>
  <si>
    <t xml:space="preserve">실현</t>
  </si>
  <si>
    <r>
      <rPr>
        <sz val="10"/>
        <rFont val="Noto Sans CJK SC"/>
        <family val="2"/>
      </rPr>
      <t xml:space="preserve">실현</t>
    </r>
    <r>
      <rPr>
        <sz val="10"/>
        <rFont val="Arial"/>
        <family val="0"/>
        <charset val="1"/>
      </rPr>
      <t xml:space="preserve">/NNG</t>
    </r>
  </si>
  <si>
    <t xml:space="preserve">retain</t>
  </si>
  <si>
    <t xml:space="preserve">유지</t>
  </si>
  <si>
    <r>
      <rPr>
        <sz val="10"/>
        <rFont val="Noto Sans CJK SC"/>
        <family val="2"/>
      </rPr>
      <t xml:space="preserve">유지</t>
    </r>
    <r>
      <rPr>
        <sz val="10"/>
        <rFont val="Arial"/>
        <family val="0"/>
        <charset val="1"/>
      </rPr>
      <t xml:space="preserve">/NNG</t>
    </r>
  </si>
  <si>
    <t xml:space="preserve">benefit</t>
  </si>
  <si>
    <t xml:space="preserve">이점</t>
  </si>
  <si>
    <r>
      <rPr>
        <sz val="10"/>
        <rFont val="Noto Sans CJK SC"/>
        <family val="2"/>
      </rPr>
      <t xml:space="preserve">이점</t>
    </r>
    <r>
      <rPr>
        <sz val="10"/>
        <rFont val="Arial"/>
        <family val="0"/>
        <charset val="1"/>
      </rPr>
      <t xml:space="preserve">/NNG</t>
    </r>
  </si>
  <si>
    <r>
      <rPr>
        <sz val="10"/>
        <rFont val="Noto Sans CJK SC"/>
        <family val="2"/>
      </rPr>
      <t xml:space="preserve">단독 분석 시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</t>
    </r>
    <r>
      <rPr>
        <sz val="10"/>
        <rFont val="Arial"/>
        <family val="0"/>
        <charset val="1"/>
      </rPr>
      <t xml:space="preserve">/MM + </t>
    </r>
    <r>
      <rPr>
        <sz val="10"/>
        <rFont val="Noto Sans CJK SC"/>
        <family val="2"/>
      </rPr>
      <t xml:space="preserve">점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으로 잘못 쪼개져 수동 보정</t>
    </r>
  </si>
  <si>
    <t xml:space="preserve">혜택</t>
  </si>
  <si>
    <r>
      <rPr>
        <sz val="10"/>
        <rFont val="Noto Sans CJK SC"/>
        <family val="2"/>
      </rPr>
      <t xml:space="preserve">혜택</t>
    </r>
    <r>
      <rPr>
        <sz val="10"/>
        <rFont val="Arial"/>
        <family val="0"/>
        <charset val="1"/>
      </rPr>
      <t xml:space="preserve">/NNG</t>
    </r>
  </si>
  <si>
    <t xml:space="preserve">notable</t>
  </si>
  <si>
    <t xml:space="preserve">주목</t>
  </si>
  <si>
    <r>
      <rPr>
        <sz val="10"/>
        <rFont val="Noto Sans CJK SC"/>
        <family val="2"/>
      </rPr>
      <t xml:space="preserve">주목</t>
    </r>
    <r>
      <rPr>
        <sz val="10"/>
        <rFont val="Arial"/>
        <family val="0"/>
        <charset val="1"/>
      </rPr>
      <t xml:space="preserve">/NNG</t>
    </r>
  </si>
  <si>
    <t xml:space="preserve">persistent</t>
  </si>
  <si>
    <t xml:space="preserve">지속</t>
  </si>
  <si>
    <r>
      <rPr>
        <sz val="10"/>
        <rFont val="Noto Sans CJK SC"/>
        <family val="2"/>
      </rPr>
      <t xml:space="preserve">지속</t>
    </r>
    <r>
      <rPr>
        <sz val="10"/>
        <rFont val="Arial"/>
        <family val="0"/>
        <charset val="1"/>
      </rPr>
      <t xml:space="preserve">/NNG</t>
    </r>
  </si>
  <si>
    <t xml:space="preserve">responsible</t>
  </si>
  <si>
    <t xml:space="preserve">책임</t>
  </si>
  <si>
    <r>
      <rPr>
        <sz val="10"/>
        <rFont val="Noto Sans CJK SC"/>
        <family val="2"/>
      </rPr>
      <t xml:space="preserve">책임</t>
    </r>
    <r>
      <rPr>
        <sz val="10"/>
        <rFont val="Arial"/>
        <family val="0"/>
        <charset val="1"/>
      </rPr>
      <t xml:space="preserve">/NNG</t>
    </r>
  </si>
  <si>
    <t xml:space="preserve">effectual</t>
  </si>
  <si>
    <t xml:space="preserve">유효</t>
  </si>
  <si>
    <r>
      <rPr>
        <sz val="10"/>
        <rFont val="Noto Sans CJK SC"/>
        <family val="2"/>
      </rPr>
      <t xml:space="preserve">유효</t>
    </r>
    <r>
      <rPr>
        <sz val="10"/>
        <rFont val="Arial"/>
        <family val="0"/>
        <charset val="1"/>
      </rPr>
      <t xml:space="preserve">/NNG</t>
    </r>
  </si>
  <si>
    <t xml:space="preserve">adequate</t>
  </si>
  <si>
    <t xml:space="preserve">적정</t>
  </si>
  <si>
    <r>
      <rPr>
        <sz val="10"/>
        <rFont val="Noto Sans CJK SC"/>
        <family val="2"/>
      </rPr>
      <t xml:space="preserve">적정</t>
    </r>
    <r>
      <rPr>
        <sz val="10"/>
        <rFont val="Arial"/>
        <family val="0"/>
        <charset val="1"/>
      </rPr>
      <t xml:space="preserve">/NNG</t>
    </r>
  </si>
  <si>
    <t xml:space="preserve">sufficient</t>
  </si>
  <si>
    <t xml:space="preserve">충분</t>
  </si>
  <si>
    <r>
      <rPr>
        <sz val="10"/>
        <rFont val="Noto Sans CJK SC"/>
        <family val="2"/>
      </rPr>
      <t xml:space="preserve">충분</t>
    </r>
    <r>
      <rPr>
        <sz val="10"/>
        <rFont val="Arial"/>
        <family val="0"/>
        <charset val="1"/>
      </rPr>
      <t xml:space="preserve">/XR</t>
    </r>
  </si>
  <si>
    <t xml:space="preserve">function</t>
  </si>
  <si>
    <t xml:space="preserve">기능</t>
  </si>
  <si>
    <r>
      <rPr>
        <sz val="10"/>
        <rFont val="Noto Sans CJK SC"/>
        <family val="2"/>
      </rPr>
      <t xml:space="preserve">기능</t>
    </r>
    <r>
      <rPr>
        <sz val="10"/>
        <rFont val="Arial"/>
        <family val="0"/>
        <charset val="1"/>
      </rPr>
      <t xml:space="preserve">/NNG</t>
    </r>
  </si>
  <si>
    <t xml:space="preserve">operate</t>
  </si>
  <si>
    <t xml:space="preserve">운영</t>
  </si>
  <si>
    <r>
      <rPr>
        <sz val="10"/>
        <rFont val="Noto Sans CJK SC"/>
        <family val="2"/>
      </rPr>
      <t xml:space="preserve">운영</t>
    </r>
    <r>
      <rPr>
        <sz val="10"/>
        <rFont val="Arial"/>
        <family val="0"/>
        <charset val="1"/>
      </rPr>
      <t xml:space="preserve">/NNG</t>
    </r>
  </si>
  <si>
    <t xml:space="preserve">가동</t>
  </si>
  <si>
    <r>
      <rPr>
        <sz val="10"/>
        <rFont val="Noto Sans CJK SC"/>
        <family val="2"/>
      </rPr>
      <t xml:space="preserve">가동</t>
    </r>
    <r>
      <rPr>
        <sz val="10"/>
        <rFont val="Arial"/>
        <family val="0"/>
        <charset val="1"/>
      </rPr>
      <t xml:space="preserve">/NNG</t>
    </r>
  </si>
  <si>
    <t xml:space="preserve">actual</t>
  </si>
  <si>
    <t xml:space="preserve">실제</t>
  </si>
  <si>
    <r>
      <rPr>
        <sz val="10"/>
        <rFont val="Noto Sans CJK SC"/>
        <family val="2"/>
      </rPr>
      <t xml:space="preserve">실제</t>
    </r>
    <r>
      <rPr>
        <sz val="10"/>
        <rFont val="Arial"/>
        <family val="0"/>
        <charset val="1"/>
      </rPr>
      <t xml:space="preserve">/NNG</t>
    </r>
  </si>
  <si>
    <t xml:space="preserve">real</t>
  </si>
  <si>
    <t xml:space="preserve">effect</t>
  </si>
  <si>
    <t xml:space="preserve">profitability</t>
  </si>
  <si>
    <t xml:space="preserve">수익성</t>
  </si>
  <si>
    <r>
      <rPr>
        <sz val="10"/>
        <rFont val="Noto Sans CJK SC"/>
        <family val="2"/>
      </rPr>
      <t xml:space="preserve">수익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성</t>
    </r>
    <r>
      <rPr>
        <sz val="10"/>
        <rFont val="Arial"/>
        <family val="0"/>
        <charset val="1"/>
      </rPr>
      <t xml:space="preserve">/XSN</t>
    </r>
  </si>
  <si>
    <t xml:space="preserve">account</t>
  </si>
  <si>
    <t xml:space="preserve">계정</t>
  </si>
  <si>
    <r>
      <rPr>
        <sz val="10"/>
        <rFont val="Noto Sans CJK SC"/>
        <family val="2"/>
      </rPr>
      <t xml:space="preserve">계정</t>
    </r>
    <r>
      <rPr>
        <sz val="10"/>
        <rFont val="Arial"/>
        <family val="0"/>
        <charset val="1"/>
      </rPr>
      <t xml:space="preserve">/NNG</t>
    </r>
  </si>
  <si>
    <t xml:space="preserve">expense</t>
  </si>
  <si>
    <t xml:space="preserve">accumulate</t>
  </si>
  <si>
    <t xml:space="preserve">누적</t>
  </si>
  <si>
    <r>
      <rPr>
        <sz val="10"/>
        <rFont val="Noto Sans CJK SC"/>
        <family val="2"/>
      </rPr>
      <t xml:space="preserve">누적</t>
    </r>
    <r>
      <rPr>
        <sz val="10"/>
        <rFont val="Arial"/>
        <family val="0"/>
        <charset val="1"/>
      </rPr>
      <t xml:space="preserve">/NNG</t>
    </r>
  </si>
  <si>
    <t xml:space="preserve">asset</t>
  </si>
  <si>
    <t xml:space="preserve">자산</t>
  </si>
  <si>
    <r>
      <rPr>
        <sz val="10"/>
        <rFont val="Noto Sans CJK SC"/>
        <family val="2"/>
      </rPr>
      <t xml:space="preserve">자산</t>
    </r>
    <r>
      <rPr>
        <sz val="10"/>
        <rFont val="Arial"/>
        <family val="0"/>
        <charset val="1"/>
      </rPr>
      <t xml:space="preserve">/NNG</t>
    </r>
  </si>
  <si>
    <t xml:space="preserve">loss</t>
  </si>
  <si>
    <t xml:space="preserve">손실</t>
  </si>
  <si>
    <r>
      <rPr>
        <sz val="10"/>
        <rFont val="Noto Sans CJK SC"/>
        <family val="2"/>
      </rPr>
      <t xml:space="preserve">손실</t>
    </r>
    <r>
      <rPr>
        <sz val="10"/>
        <rFont val="Arial"/>
        <family val="0"/>
        <charset val="1"/>
      </rPr>
      <t xml:space="preserve">/NNG</t>
    </r>
  </si>
  <si>
    <t xml:space="preserve">compensation</t>
  </si>
  <si>
    <t xml:space="preserve">보수</t>
  </si>
  <si>
    <r>
      <rPr>
        <sz val="10"/>
        <rFont val="Noto Sans CJK SC"/>
        <family val="2"/>
      </rPr>
      <t xml:space="preserve">보수</t>
    </r>
    <r>
      <rPr>
        <sz val="10"/>
        <rFont val="Arial"/>
        <family val="0"/>
        <charset val="1"/>
      </rPr>
      <t xml:space="preserve">/NNG</t>
    </r>
  </si>
  <si>
    <t xml:space="preserve">refund</t>
  </si>
  <si>
    <t xml:space="preserve">환불</t>
  </si>
  <si>
    <r>
      <rPr>
        <sz val="10"/>
        <rFont val="Noto Sans CJK SC"/>
        <family val="2"/>
      </rPr>
      <t xml:space="preserve">환불</t>
    </r>
    <r>
      <rPr>
        <sz val="10"/>
        <rFont val="Arial"/>
        <family val="0"/>
        <charset val="1"/>
      </rPr>
      <t xml:space="preserve">/NNG</t>
    </r>
  </si>
  <si>
    <t xml:space="preserve">transaction</t>
  </si>
  <si>
    <t xml:space="preserve">거래</t>
  </si>
  <si>
    <r>
      <rPr>
        <sz val="10"/>
        <rFont val="Noto Sans CJK SC"/>
        <family val="2"/>
      </rPr>
      <t xml:space="preserve">거래</t>
    </r>
    <r>
      <rPr>
        <sz val="10"/>
        <rFont val="Arial"/>
        <family val="0"/>
        <charset val="1"/>
      </rPr>
      <t xml:space="preserve">/NNG</t>
    </r>
  </si>
  <si>
    <t xml:space="preserve">hedge</t>
  </si>
  <si>
    <t xml:space="preserve">헤지</t>
  </si>
  <si>
    <r>
      <rPr>
        <sz val="10"/>
        <rFont val="Noto Sans CJK SC"/>
        <family val="2"/>
      </rPr>
      <t xml:space="preserve">헤지</t>
    </r>
    <r>
      <rPr>
        <sz val="10"/>
        <rFont val="Arial"/>
        <family val="0"/>
        <charset val="1"/>
      </rPr>
      <t xml:space="preserve">/NNG</t>
    </r>
  </si>
  <si>
    <t xml:space="preserve">tax</t>
  </si>
  <si>
    <t xml:space="preserve">세금</t>
  </si>
  <si>
    <r>
      <rPr>
        <sz val="10"/>
        <rFont val="Noto Sans CJK SC"/>
        <family val="2"/>
      </rPr>
      <t xml:space="preserve">세금</t>
    </r>
    <r>
      <rPr>
        <sz val="10"/>
        <rFont val="Arial"/>
        <family val="0"/>
        <charset val="1"/>
      </rPr>
      <t xml:space="preserve">/NNG</t>
    </r>
  </si>
  <si>
    <t xml:space="preserve">amortize</t>
  </si>
  <si>
    <t xml:space="preserve">상각</t>
  </si>
  <si>
    <r>
      <rPr>
        <sz val="10"/>
        <rFont val="Noto Sans CJK SC"/>
        <family val="2"/>
      </rPr>
      <t xml:space="preserve">상각</t>
    </r>
    <r>
      <rPr>
        <sz val="10"/>
        <rFont val="Arial"/>
        <family val="0"/>
        <charset val="1"/>
      </rPr>
      <t xml:space="preserve">/NNG</t>
    </r>
  </si>
  <si>
    <t xml:space="preserve">annuity</t>
  </si>
  <si>
    <t xml:space="preserve">연금</t>
  </si>
  <si>
    <r>
      <rPr>
        <sz val="10"/>
        <rFont val="Noto Sans CJK SC"/>
        <family val="2"/>
      </rPr>
      <t xml:space="preserve">연금</t>
    </r>
    <r>
      <rPr>
        <sz val="10"/>
        <rFont val="Arial"/>
        <family val="0"/>
        <charset val="1"/>
      </rPr>
      <t xml:space="preserve">/NNG</t>
    </r>
  </si>
  <si>
    <t xml:space="preserve">amount</t>
  </si>
  <si>
    <t xml:space="preserve">금액</t>
  </si>
  <si>
    <r>
      <rPr>
        <sz val="10"/>
        <rFont val="Noto Sans CJK SC"/>
        <family val="2"/>
      </rPr>
      <t xml:space="preserve">금액</t>
    </r>
    <r>
      <rPr>
        <sz val="10"/>
        <rFont val="Arial"/>
        <family val="0"/>
        <charset val="1"/>
      </rPr>
      <t xml:space="preserve">/NNG</t>
    </r>
  </si>
  <si>
    <t xml:space="preserve">capita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</si>
  <si>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인당</t>
    </r>
  </si>
  <si>
    <r>
      <rPr>
        <sz val="10"/>
        <rFont val="Arial"/>
        <family val="0"/>
        <charset val="1"/>
      </rPr>
      <t xml:space="preserve">1/SN + </t>
    </r>
    <r>
      <rPr>
        <sz val="10"/>
        <rFont val="Noto Sans CJK SC"/>
        <family val="2"/>
      </rPr>
      <t xml:space="preserve">인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당</t>
    </r>
    <r>
      <rPr>
        <sz val="10"/>
        <rFont val="Arial"/>
        <family val="0"/>
        <charset val="1"/>
      </rPr>
      <t xml:space="preserve">/XSN</t>
    </r>
  </si>
  <si>
    <r>
      <rPr>
        <sz val="10"/>
        <rFont val="Arial"/>
        <family val="0"/>
        <charset val="1"/>
      </rPr>
      <t xml:space="preserve">1/SN + </t>
    </r>
    <r>
      <rPr>
        <sz val="10"/>
        <rFont val="Noto Sans CJK SC"/>
        <family val="2"/>
      </rPr>
      <t xml:space="preserve">인</t>
    </r>
    <r>
      <rPr>
        <sz val="10"/>
        <rFont val="Arial"/>
        <family val="0"/>
        <charset val="1"/>
      </rPr>
      <t xml:space="preserve">/NNG</t>
    </r>
  </si>
  <si>
    <t xml:space="preserve">bonds</t>
  </si>
  <si>
    <t xml:space="preserve">채권</t>
  </si>
  <si>
    <r>
      <rPr>
        <sz val="10"/>
        <rFont val="Noto Sans CJK SC"/>
        <family val="2"/>
      </rPr>
      <t xml:space="preserve">채권</t>
    </r>
    <r>
      <rPr>
        <sz val="10"/>
        <rFont val="Arial"/>
        <family val="0"/>
        <charset val="1"/>
      </rPr>
      <t xml:space="preserve">/NNG</t>
    </r>
  </si>
  <si>
    <t xml:space="preserve">balance sheet</t>
  </si>
  <si>
    <t xml:space="preserve">재무상태표</t>
  </si>
  <si>
    <r>
      <rPr>
        <sz val="10"/>
        <rFont val="Noto Sans CJK SC"/>
        <family val="2"/>
      </rPr>
      <t xml:space="preserve">재무상태표</t>
    </r>
    <r>
      <rPr>
        <sz val="10"/>
        <rFont val="Arial"/>
        <family val="0"/>
        <charset val="1"/>
      </rPr>
      <t xml:space="preserve">/NNP</t>
    </r>
  </si>
  <si>
    <t xml:space="preserve">bankrupt</t>
  </si>
  <si>
    <t xml:space="preserve">파산</t>
  </si>
  <si>
    <r>
      <rPr>
        <sz val="10"/>
        <rFont val="Noto Sans CJK SC"/>
        <family val="2"/>
      </rPr>
      <t xml:space="preserve">파산</t>
    </r>
    <r>
      <rPr>
        <sz val="10"/>
        <rFont val="Arial"/>
        <family val="0"/>
        <charset val="1"/>
      </rPr>
      <t xml:space="preserve">/NNG</t>
    </r>
  </si>
  <si>
    <t xml:space="preserve">purchase</t>
  </si>
  <si>
    <t xml:space="preserve">구매</t>
  </si>
  <si>
    <r>
      <rPr>
        <sz val="10"/>
        <rFont val="Noto Sans CJK SC"/>
        <family val="2"/>
      </rPr>
      <t xml:space="preserve">구매</t>
    </r>
    <r>
      <rPr>
        <sz val="10"/>
        <rFont val="Arial"/>
        <family val="0"/>
        <charset val="1"/>
      </rPr>
      <t xml:space="preserve">/NNG</t>
    </r>
  </si>
  <si>
    <t xml:space="preserve">bid</t>
  </si>
  <si>
    <t xml:space="preserve">입찰</t>
  </si>
  <si>
    <r>
      <rPr>
        <sz val="10"/>
        <rFont val="Noto Sans CJK SC"/>
        <family val="2"/>
      </rPr>
      <t xml:space="preserve">입찰</t>
    </r>
    <r>
      <rPr>
        <sz val="10"/>
        <rFont val="Arial"/>
        <family val="0"/>
        <charset val="1"/>
      </rPr>
      <t xml:space="preserve">/NNG</t>
    </r>
  </si>
  <si>
    <t xml:space="preserve">loan</t>
  </si>
  <si>
    <t xml:space="preserve">대출</t>
  </si>
  <si>
    <r>
      <rPr>
        <sz val="10"/>
        <rFont val="Noto Sans CJK SC"/>
        <family val="2"/>
      </rPr>
      <t xml:space="preserve">대출</t>
    </r>
    <r>
      <rPr>
        <sz val="10"/>
        <rFont val="Arial"/>
        <family val="0"/>
        <charset val="1"/>
      </rPr>
      <t xml:space="preserve">/NNG</t>
    </r>
  </si>
  <si>
    <t xml:space="preserve">insurance</t>
  </si>
  <si>
    <t xml:space="preserve">보험</t>
  </si>
  <si>
    <r>
      <rPr>
        <sz val="10"/>
        <rFont val="Noto Sans CJK SC"/>
        <family val="2"/>
      </rPr>
      <t xml:space="preserve">보험</t>
    </r>
    <r>
      <rPr>
        <sz val="10"/>
        <rFont val="Arial"/>
        <family val="0"/>
        <charset val="1"/>
      </rPr>
      <t xml:space="preserve">/NNG</t>
    </r>
  </si>
  <si>
    <t xml:space="preserve">endowment</t>
  </si>
  <si>
    <t xml:space="preserve">기금</t>
  </si>
  <si>
    <r>
      <rPr>
        <sz val="10"/>
        <rFont val="Noto Sans CJK SC"/>
        <family val="2"/>
      </rPr>
      <t xml:space="preserve">기금</t>
    </r>
    <r>
      <rPr>
        <sz val="10"/>
        <rFont val="Arial"/>
        <family val="0"/>
        <charset val="1"/>
      </rPr>
      <t xml:space="preserve">/NNG</t>
    </r>
  </si>
  <si>
    <t xml:space="preserve">lease</t>
  </si>
  <si>
    <t xml:space="preserve">리스</t>
  </si>
  <si>
    <r>
      <rPr>
        <sz val="10"/>
        <rFont val="Noto Sans CJK SC"/>
        <family val="2"/>
      </rPr>
      <t xml:space="preserve">리스</t>
    </r>
    <r>
      <rPr>
        <sz val="10"/>
        <rFont val="Arial"/>
        <family val="0"/>
        <charset val="1"/>
      </rPr>
      <t xml:space="preserve">/NNP</t>
    </r>
  </si>
  <si>
    <t xml:space="preserve">임대</t>
  </si>
  <si>
    <r>
      <rPr>
        <sz val="10"/>
        <rFont val="Noto Sans CJK SC"/>
        <family val="2"/>
      </rPr>
      <t xml:space="preserve">임대</t>
    </r>
    <r>
      <rPr>
        <sz val="10"/>
        <rFont val="Arial"/>
        <family val="0"/>
        <charset val="1"/>
      </rPr>
      <t xml:space="preserve">/NNG</t>
    </r>
  </si>
  <si>
    <t xml:space="preserve">fee</t>
  </si>
  <si>
    <t xml:space="preserve">수수료</t>
  </si>
  <si>
    <r>
      <rPr>
        <sz val="10"/>
        <rFont val="Noto Sans CJK SC"/>
        <family val="2"/>
      </rPr>
      <t xml:space="preserve">수수료</t>
    </r>
    <r>
      <rPr>
        <sz val="10"/>
        <rFont val="Arial"/>
        <family val="0"/>
        <charset val="1"/>
      </rPr>
      <t xml:space="preserve">/NNG</t>
    </r>
  </si>
  <si>
    <t xml:space="preserve">average</t>
  </si>
  <si>
    <t xml:space="preserve">평균</t>
  </si>
  <si>
    <r>
      <rPr>
        <sz val="10"/>
        <rFont val="Noto Sans CJK SC"/>
        <family val="2"/>
      </rPr>
      <t xml:space="preserve">평균</t>
    </r>
    <r>
      <rPr>
        <sz val="10"/>
        <rFont val="Arial"/>
        <family val="0"/>
        <charset val="1"/>
      </rPr>
      <t xml:space="preserve">/NNG</t>
    </r>
  </si>
  <si>
    <t xml:space="preserve">cash</t>
  </si>
  <si>
    <t xml:space="preserve">현금</t>
  </si>
  <si>
    <r>
      <rPr>
        <sz val="10"/>
        <rFont val="Noto Sans CJK SC"/>
        <family val="2"/>
      </rPr>
      <t xml:space="preserve">현금</t>
    </r>
    <r>
      <rPr>
        <sz val="10"/>
        <rFont val="Arial"/>
        <family val="0"/>
        <charset val="1"/>
      </rPr>
      <t xml:space="preserve">/NNG</t>
    </r>
  </si>
  <si>
    <t xml:space="preserve">estimate</t>
  </si>
  <si>
    <t xml:space="preserve">추정</t>
  </si>
  <si>
    <r>
      <rPr>
        <sz val="10"/>
        <rFont val="Noto Sans CJK SC"/>
        <family val="2"/>
      </rPr>
      <t xml:space="preserve">추정</t>
    </r>
    <r>
      <rPr>
        <sz val="10"/>
        <rFont val="Arial"/>
        <family val="0"/>
        <charset val="1"/>
      </rPr>
      <t xml:space="preserve">/NNG</t>
    </r>
  </si>
  <si>
    <t xml:space="preserve">receivable</t>
  </si>
  <si>
    <t xml:space="preserve">매출채권</t>
  </si>
  <si>
    <r>
      <rPr>
        <sz val="10"/>
        <rFont val="Noto Sans CJK SC"/>
        <family val="2"/>
      </rPr>
      <t xml:space="preserve">매출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채권</t>
    </r>
    <r>
      <rPr>
        <sz val="10"/>
        <rFont val="Arial"/>
        <family val="0"/>
        <charset val="1"/>
      </rPr>
      <t xml:space="preserve">/NNG</t>
    </r>
  </si>
  <si>
    <t xml:space="preserve">finance</t>
  </si>
  <si>
    <t xml:space="preserve">재무</t>
  </si>
  <si>
    <r>
      <rPr>
        <sz val="10"/>
        <rFont val="Noto Sans CJK SC"/>
        <family val="2"/>
      </rPr>
      <t xml:space="preserve">재무</t>
    </r>
    <r>
      <rPr>
        <sz val="10"/>
        <rFont val="Arial"/>
        <family val="0"/>
        <charset val="1"/>
      </rPr>
      <t xml:space="preserve">/NNG</t>
    </r>
  </si>
  <si>
    <t xml:space="preserve">금융</t>
  </si>
  <si>
    <r>
      <rPr>
        <sz val="10"/>
        <rFont val="Noto Sans CJK SC"/>
        <family val="2"/>
      </rPr>
      <t xml:space="preserve">금융</t>
    </r>
    <r>
      <rPr>
        <sz val="10"/>
        <rFont val="Arial"/>
        <family val="0"/>
        <charset val="1"/>
      </rPr>
      <t xml:space="preserve">/NNG</t>
    </r>
  </si>
  <si>
    <t xml:space="preserve">collateral</t>
  </si>
  <si>
    <t xml:space="preserve">담보</t>
  </si>
  <si>
    <r>
      <rPr>
        <sz val="10"/>
        <rFont val="Noto Sans CJK SC"/>
        <family val="2"/>
      </rPr>
      <t xml:space="preserve">담보</t>
    </r>
    <r>
      <rPr>
        <sz val="10"/>
        <rFont val="Arial"/>
        <family val="0"/>
        <charset val="1"/>
      </rPr>
      <t xml:space="preserve">/NNG</t>
    </r>
  </si>
  <si>
    <t xml:space="preserve">credit</t>
  </si>
  <si>
    <t xml:space="preserve">신용</t>
  </si>
  <si>
    <r>
      <rPr>
        <sz val="10"/>
        <rFont val="Noto Sans CJK SC"/>
        <family val="2"/>
      </rPr>
      <t xml:space="preserve">신용</t>
    </r>
    <r>
      <rPr>
        <sz val="10"/>
        <rFont val="Arial"/>
        <family val="0"/>
        <charset val="1"/>
      </rPr>
      <t xml:space="preserve">/NNG</t>
    </r>
  </si>
  <si>
    <t xml:space="preserve">commodity</t>
  </si>
  <si>
    <t xml:space="preserve">원자재</t>
  </si>
  <si>
    <r>
      <rPr>
        <sz val="10"/>
        <rFont val="Noto Sans CJK SC"/>
        <family val="2"/>
      </rPr>
      <t xml:space="preserve">원자재</t>
    </r>
    <r>
      <rPr>
        <sz val="10"/>
        <rFont val="Arial"/>
        <family val="0"/>
        <charset val="1"/>
      </rPr>
      <t xml:space="preserve">/NNG</t>
    </r>
  </si>
  <si>
    <t xml:space="preserve">stock</t>
  </si>
  <si>
    <t xml:space="preserve">주식</t>
  </si>
  <si>
    <r>
      <rPr>
        <sz val="10"/>
        <rFont val="Noto Sans CJK SC"/>
        <family val="2"/>
      </rPr>
      <t xml:space="preserve">주식</t>
    </r>
    <r>
      <rPr>
        <sz val="10"/>
        <rFont val="Arial"/>
        <family val="0"/>
        <charset val="1"/>
      </rPr>
      <t xml:space="preserve">/NNG</t>
    </r>
  </si>
  <si>
    <t xml:space="preserve">재고</t>
  </si>
  <si>
    <r>
      <rPr>
        <sz val="10"/>
        <rFont val="Noto Sans CJK SC"/>
        <family val="2"/>
      </rPr>
      <t xml:space="preserve">재고</t>
    </r>
    <r>
      <rPr>
        <sz val="10"/>
        <rFont val="Arial"/>
        <family val="0"/>
        <charset val="1"/>
      </rPr>
      <t xml:space="preserve">/NNG</t>
    </r>
  </si>
  <si>
    <t xml:space="preserve">convertible</t>
  </si>
  <si>
    <t xml:space="preserve">전환</t>
  </si>
  <si>
    <r>
      <rPr>
        <sz val="10"/>
        <rFont val="Noto Sans CJK SC"/>
        <family val="2"/>
      </rPr>
      <t xml:space="preserve">전환</t>
    </r>
    <r>
      <rPr>
        <sz val="10"/>
        <rFont val="Arial"/>
        <family val="0"/>
        <charset val="1"/>
      </rPr>
      <t xml:space="preserve">/NNG</t>
    </r>
  </si>
  <si>
    <t xml:space="preserve">rent</t>
  </si>
  <si>
    <t xml:space="preserve">임대료</t>
  </si>
  <si>
    <r>
      <rPr>
        <sz val="10"/>
        <rFont val="Noto Sans CJK SC"/>
        <family val="2"/>
      </rPr>
      <t xml:space="preserve">임대료</t>
    </r>
    <r>
      <rPr>
        <sz val="10"/>
        <rFont val="Arial"/>
        <family val="0"/>
        <charset val="1"/>
      </rPr>
      <t xml:space="preserve">/NNG</t>
    </r>
  </si>
  <si>
    <t xml:space="preserve">exchange</t>
  </si>
  <si>
    <t xml:space="preserve">거래소</t>
  </si>
  <si>
    <r>
      <rPr>
        <sz val="10"/>
        <rFont val="Noto Sans CJK SC"/>
        <family val="2"/>
      </rPr>
      <t xml:space="preserve">거래소</t>
    </r>
    <r>
      <rPr>
        <sz val="10"/>
        <rFont val="Arial"/>
        <family val="0"/>
        <charset val="1"/>
      </rPr>
      <t xml:space="preserve">/NNG</t>
    </r>
  </si>
  <si>
    <t xml:space="preserve">교환</t>
  </si>
  <si>
    <r>
      <rPr>
        <sz val="10"/>
        <rFont val="Noto Sans CJK SC"/>
        <family val="2"/>
      </rPr>
      <t xml:space="preserve">교환</t>
    </r>
    <r>
      <rPr>
        <sz val="10"/>
        <rFont val="Arial"/>
        <family val="0"/>
        <charset val="1"/>
      </rPr>
      <t xml:space="preserve">/NNG</t>
    </r>
  </si>
  <si>
    <t xml:space="preserve">liability</t>
  </si>
  <si>
    <t xml:space="preserve">부채</t>
  </si>
  <si>
    <r>
      <rPr>
        <sz val="10"/>
        <rFont val="Noto Sans CJK SC"/>
        <family val="2"/>
      </rPr>
      <t xml:space="preserve">부채</t>
    </r>
    <r>
      <rPr>
        <sz val="10"/>
        <rFont val="Arial"/>
        <family val="0"/>
        <charset val="1"/>
      </rPr>
      <t xml:space="preserve">/NNG</t>
    </r>
  </si>
  <si>
    <t xml:space="preserve">invest</t>
  </si>
  <si>
    <t xml:space="preserve">투자</t>
  </si>
  <si>
    <r>
      <rPr>
        <sz val="10"/>
        <rFont val="Noto Sans CJK SC"/>
        <family val="2"/>
      </rPr>
      <t xml:space="preserve">투자</t>
    </r>
    <r>
      <rPr>
        <sz val="10"/>
        <rFont val="Arial"/>
        <family val="0"/>
        <charset val="1"/>
      </rPr>
      <t xml:space="preserve">/NNG</t>
    </r>
  </si>
  <si>
    <t xml:space="preserve">incentive</t>
  </si>
  <si>
    <t xml:space="preserve">인센티브</t>
  </si>
  <si>
    <r>
      <rPr>
        <sz val="10"/>
        <rFont val="Noto Sans CJK SC"/>
        <family val="2"/>
      </rPr>
      <t xml:space="preserve">인센티브</t>
    </r>
    <r>
      <rPr>
        <sz val="10"/>
        <rFont val="Arial"/>
        <family val="0"/>
        <charset val="1"/>
      </rPr>
      <t xml:space="preserve">/NNG</t>
    </r>
  </si>
  <si>
    <t xml:space="preserve">performance</t>
  </si>
  <si>
    <t xml:space="preserve">성과</t>
  </si>
  <si>
    <r>
      <rPr>
        <sz val="10"/>
        <rFont val="Noto Sans CJK SC"/>
        <family val="2"/>
      </rPr>
      <t xml:space="preserve">성과</t>
    </r>
    <r>
      <rPr>
        <sz val="10"/>
        <rFont val="Arial"/>
        <family val="0"/>
        <charset val="1"/>
      </rPr>
      <t xml:space="preserve">/NNG</t>
    </r>
  </si>
  <si>
    <t xml:space="preserve">실적</t>
  </si>
  <si>
    <r>
      <rPr>
        <sz val="10"/>
        <rFont val="Noto Sans CJK SC"/>
        <family val="2"/>
      </rPr>
      <t xml:space="preserve">실적</t>
    </r>
    <r>
      <rPr>
        <sz val="10"/>
        <rFont val="Arial"/>
        <family val="0"/>
        <charset val="1"/>
      </rPr>
      <t xml:space="preserve">/NNG</t>
    </r>
  </si>
  <si>
    <t xml:space="preserve">derivative</t>
  </si>
  <si>
    <t xml:space="preserve">파생</t>
  </si>
  <si>
    <r>
      <rPr>
        <sz val="10"/>
        <rFont val="Noto Sans CJK SC"/>
        <family val="2"/>
      </rPr>
      <t xml:space="preserve">파생</t>
    </r>
    <r>
      <rPr>
        <sz val="10"/>
        <rFont val="Arial"/>
        <family val="0"/>
        <charset val="1"/>
      </rPr>
      <t xml:space="preserve">/NNG</t>
    </r>
  </si>
  <si>
    <t xml:space="preserve">debt</t>
  </si>
  <si>
    <t xml:space="preserve">채무</t>
  </si>
  <si>
    <r>
      <rPr>
        <sz val="10"/>
        <rFont val="Noto Sans CJK SC"/>
        <family val="2"/>
      </rPr>
      <t xml:space="preserve">채무</t>
    </r>
    <r>
      <rPr>
        <sz val="10"/>
        <rFont val="Arial"/>
        <family val="0"/>
        <charset val="1"/>
      </rPr>
      <t xml:space="preserve">/NNG</t>
    </r>
  </si>
  <si>
    <t xml:space="preserve">equity</t>
  </si>
  <si>
    <t xml:space="preserve">지분</t>
  </si>
  <si>
    <r>
      <rPr>
        <sz val="10"/>
        <rFont val="Noto Sans CJK SC"/>
        <family val="2"/>
      </rPr>
      <t xml:space="preserve">지분</t>
    </r>
    <r>
      <rPr>
        <sz val="10"/>
        <rFont val="Arial"/>
        <family val="0"/>
        <charset val="1"/>
      </rPr>
      <t xml:space="preserve">/NNG</t>
    </r>
  </si>
  <si>
    <t xml:space="preserve">overdraft</t>
  </si>
  <si>
    <t xml:space="preserve">당좌대월</t>
  </si>
  <si>
    <r>
      <rPr>
        <sz val="10"/>
        <rFont val="Noto Sans CJK SC"/>
        <family val="2"/>
      </rPr>
      <t xml:space="preserve">당좌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대월</t>
    </r>
    <r>
      <rPr>
        <sz val="10"/>
        <rFont val="Arial"/>
        <family val="0"/>
        <charset val="1"/>
      </rPr>
      <t xml:space="preserve">/NNG</t>
    </r>
  </si>
  <si>
    <t xml:space="preserve">deposit</t>
  </si>
  <si>
    <t xml:space="preserve">예금</t>
  </si>
  <si>
    <r>
      <rPr>
        <sz val="10"/>
        <rFont val="Noto Sans CJK SC"/>
        <family val="2"/>
      </rPr>
      <t xml:space="preserve">예금</t>
    </r>
    <r>
      <rPr>
        <sz val="10"/>
        <rFont val="Arial"/>
        <family val="0"/>
        <charset val="1"/>
      </rPr>
      <t xml:space="preserve">/NNG</t>
    </r>
  </si>
  <si>
    <t xml:space="preserve">dividend</t>
  </si>
  <si>
    <t xml:space="preserve">배당</t>
  </si>
  <si>
    <r>
      <rPr>
        <sz val="10"/>
        <rFont val="Noto Sans CJK SC"/>
        <family val="2"/>
      </rPr>
      <t xml:space="preserve">배당</t>
    </r>
    <r>
      <rPr>
        <sz val="10"/>
        <rFont val="Arial"/>
        <family val="0"/>
        <charset val="1"/>
      </rPr>
      <t xml:space="preserve">/NNG</t>
    </r>
  </si>
  <si>
    <t xml:space="preserve">fund</t>
  </si>
  <si>
    <t xml:space="preserve">펀드</t>
  </si>
  <si>
    <r>
      <rPr>
        <sz val="10"/>
        <rFont val="Noto Sans CJK SC"/>
        <family val="2"/>
      </rPr>
      <t xml:space="preserve">펀드</t>
    </r>
    <r>
      <rPr>
        <sz val="10"/>
        <rFont val="Arial"/>
        <family val="0"/>
        <charset val="1"/>
      </rPr>
      <t xml:space="preserve">/NNG</t>
    </r>
  </si>
  <si>
    <t xml:space="preserve">자금</t>
  </si>
  <si>
    <r>
      <rPr>
        <sz val="10"/>
        <rFont val="Noto Sans CJK SC"/>
        <family val="2"/>
      </rPr>
      <t xml:space="preserve">자금</t>
    </r>
    <r>
      <rPr>
        <sz val="10"/>
        <rFont val="Arial"/>
        <family val="0"/>
        <charset val="1"/>
      </rPr>
      <t xml:space="preserve">/NNG</t>
    </r>
  </si>
  <si>
    <t xml:space="preserve">dollar</t>
  </si>
  <si>
    <t xml:space="preserve">달러</t>
  </si>
  <si>
    <r>
      <rPr>
        <sz val="10"/>
        <rFont val="Noto Sans CJK SC"/>
        <family val="2"/>
      </rPr>
      <t xml:space="preserve">달러</t>
    </r>
    <r>
      <rPr>
        <sz val="10"/>
        <rFont val="Arial"/>
        <family val="0"/>
        <charset val="1"/>
      </rPr>
      <t xml:space="preserve">/NNG</t>
    </r>
  </si>
  <si>
    <t xml:space="preserve">price</t>
  </si>
  <si>
    <t xml:space="preserve">가격</t>
  </si>
  <si>
    <r>
      <rPr>
        <sz val="10"/>
        <rFont val="Noto Sans CJK SC"/>
        <family val="2"/>
      </rPr>
      <t xml:space="preserve">가격</t>
    </r>
    <r>
      <rPr>
        <sz val="10"/>
        <rFont val="Arial"/>
        <family val="0"/>
        <charset val="1"/>
      </rPr>
      <t xml:space="preserve">/NNG</t>
    </r>
  </si>
  <si>
    <t xml:space="preserve">currency</t>
  </si>
  <si>
    <t xml:space="preserve">통화</t>
  </si>
  <si>
    <r>
      <rPr>
        <sz val="10"/>
        <rFont val="Noto Sans CJK SC"/>
        <family val="2"/>
      </rPr>
      <t xml:space="preserve">통화</t>
    </r>
    <r>
      <rPr>
        <sz val="10"/>
        <rFont val="Arial"/>
        <family val="0"/>
        <charset val="1"/>
      </rPr>
      <t xml:space="preserve">/NNG</t>
    </r>
  </si>
  <si>
    <t xml:space="preserve">margin</t>
  </si>
  <si>
    <t xml:space="preserve">마진</t>
  </si>
  <si>
    <r>
      <rPr>
        <sz val="10"/>
        <rFont val="Noto Sans CJK SC"/>
        <family val="2"/>
      </rPr>
      <t xml:space="preserve">마진</t>
    </r>
    <r>
      <rPr>
        <sz val="10"/>
        <rFont val="Arial"/>
        <family val="0"/>
        <charset val="1"/>
      </rPr>
      <t xml:space="preserve">/NNG</t>
    </r>
  </si>
  <si>
    <t xml:space="preserve">이익률</t>
  </si>
  <si>
    <r>
      <rPr>
        <sz val="10"/>
        <rFont val="Noto Sans CJK SC"/>
        <family val="2"/>
      </rPr>
      <t xml:space="preserve">이익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률</t>
    </r>
    <r>
      <rPr>
        <sz val="10"/>
        <rFont val="Arial"/>
        <family val="0"/>
        <charset val="1"/>
      </rPr>
      <t xml:space="preserve">/XSN</t>
    </r>
  </si>
  <si>
    <r>
      <rPr>
        <sz val="10"/>
        <rFont val="Noto Sans CJK SC"/>
        <family val="2"/>
      </rPr>
      <t xml:space="preserve">이익</t>
    </r>
    <r>
      <rPr>
        <sz val="10"/>
        <rFont val="Arial"/>
        <family val="0"/>
        <charset val="1"/>
      </rPr>
      <t xml:space="preserve">/NNG</t>
    </r>
  </si>
  <si>
    <t xml:space="preserve">premium</t>
  </si>
  <si>
    <t xml:space="preserve">프리미엄</t>
  </si>
  <si>
    <r>
      <rPr>
        <sz val="10"/>
        <rFont val="Noto Sans CJK SC"/>
        <family val="2"/>
      </rPr>
      <t xml:space="preserve">프리미엄</t>
    </r>
    <r>
      <rPr>
        <sz val="10"/>
        <rFont val="Arial"/>
        <family val="0"/>
        <charset val="1"/>
      </rPr>
      <t xml:space="preserve">/NNG</t>
    </r>
  </si>
  <si>
    <t xml:space="preserve">liquidate</t>
  </si>
  <si>
    <t xml:space="preserve">청산</t>
  </si>
  <si>
    <r>
      <rPr>
        <sz val="10"/>
        <rFont val="Noto Sans CJK SC"/>
        <family val="2"/>
      </rPr>
      <t xml:space="preserve">청산</t>
    </r>
    <r>
      <rPr>
        <sz val="10"/>
        <rFont val="Arial"/>
        <family val="0"/>
        <charset val="1"/>
      </rPr>
      <t xml:space="preserve">/NNG</t>
    </r>
  </si>
  <si>
    <t xml:space="preserve">settlement</t>
  </si>
  <si>
    <t xml:space="preserve">정산</t>
  </si>
  <si>
    <r>
      <rPr>
        <sz val="10"/>
        <rFont val="Noto Sans CJK SC"/>
        <family val="2"/>
      </rPr>
      <t xml:space="preserve">정산</t>
    </r>
    <r>
      <rPr>
        <sz val="10"/>
        <rFont val="Arial"/>
        <family val="0"/>
        <charset val="1"/>
      </rPr>
      <t xml:space="preserve">/NNG</t>
    </r>
  </si>
  <si>
    <t xml:space="preserve">sale</t>
  </si>
  <si>
    <t xml:space="preserve">매출</t>
  </si>
  <si>
    <r>
      <rPr>
        <sz val="10"/>
        <rFont val="Noto Sans CJK SC"/>
        <family val="2"/>
      </rPr>
      <t xml:space="preserve">매출</t>
    </r>
    <r>
      <rPr>
        <sz val="10"/>
        <rFont val="Arial"/>
        <family val="0"/>
        <charset val="1"/>
      </rPr>
      <t xml:space="preserve">/NNG</t>
    </r>
  </si>
  <si>
    <t xml:space="preserve">판매</t>
  </si>
  <si>
    <r>
      <rPr>
        <sz val="10"/>
        <rFont val="Noto Sans CJK SC"/>
        <family val="2"/>
      </rPr>
      <t xml:space="preserve">판매</t>
    </r>
    <r>
      <rPr>
        <sz val="10"/>
        <rFont val="Arial"/>
        <family val="0"/>
        <charset val="1"/>
      </rPr>
      <t xml:space="preserve">/NNG</t>
    </r>
  </si>
  <si>
    <t xml:space="preserve">sell</t>
  </si>
  <si>
    <t xml:space="preserve">expenditures</t>
  </si>
  <si>
    <t xml:space="preserve">지출</t>
  </si>
  <si>
    <r>
      <rPr>
        <sz val="10"/>
        <rFont val="Noto Sans CJK SC"/>
        <family val="2"/>
      </rPr>
      <t xml:space="preserve">지출</t>
    </r>
    <r>
      <rPr>
        <sz val="10"/>
        <rFont val="Arial"/>
        <family val="0"/>
        <charset val="1"/>
      </rPr>
      <t xml:space="preserve">/NNG</t>
    </r>
  </si>
  <si>
    <t xml:space="preserve">earn</t>
  </si>
  <si>
    <t xml:space="preserve">수익</t>
  </si>
  <si>
    <t xml:space="preserve">proceeds</t>
  </si>
  <si>
    <t xml:space="preserve">수익금</t>
  </si>
  <si>
    <r>
      <rPr>
        <sz val="10"/>
        <rFont val="Noto Sans CJK SC"/>
        <family val="2"/>
      </rPr>
      <t xml:space="preserve">수익금</t>
    </r>
    <r>
      <rPr>
        <sz val="10"/>
        <rFont val="Arial"/>
        <family val="0"/>
        <charset val="1"/>
      </rPr>
      <t xml:space="preserve">/NNG</t>
    </r>
  </si>
  <si>
    <t xml:space="preserve">revenue</t>
  </si>
  <si>
    <t xml:space="preserve">win</t>
  </si>
  <si>
    <t xml:space="preserve">수주</t>
  </si>
  <si>
    <r>
      <rPr>
        <sz val="10"/>
        <rFont val="Noto Sans CJK SC"/>
        <family val="2"/>
      </rPr>
      <t xml:space="preserve">수주</t>
    </r>
    <r>
      <rPr>
        <sz val="10"/>
        <rFont val="Arial"/>
        <family val="0"/>
        <charset val="1"/>
      </rPr>
      <t xml:space="preserve">/NNG</t>
    </r>
  </si>
  <si>
    <t xml:space="preserve">paid</t>
  </si>
  <si>
    <t xml:space="preserve">지급</t>
  </si>
  <si>
    <r>
      <rPr>
        <sz val="10"/>
        <rFont val="Noto Sans CJK SC"/>
        <family val="2"/>
      </rPr>
      <t xml:space="preserve">지급</t>
    </r>
    <r>
      <rPr>
        <sz val="10"/>
        <rFont val="Arial"/>
        <family val="0"/>
        <charset val="1"/>
      </rPr>
      <t xml:space="preserve">/NNG</t>
    </r>
  </si>
  <si>
    <t xml:space="preserve">EBIT</t>
  </si>
  <si>
    <t xml:space="preserve">영업이익</t>
  </si>
  <si>
    <r>
      <rPr>
        <sz val="10"/>
        <rFont val="Noto Sans CJK SC"/>
        <family val="2"/>
      </rPr>
      <t xml:space="preserve">영업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이익</t>
    </r>
    <r>
      <rPr>
        <sz val="10"/>
        <rFont val="Arial"/>
        <family val="0"/>
        <charset val="1"/>
      </rPr>
      <t xml:space="preserve">/NNG</t>
    </r>
  </si>
  <si>
    <t xml:space="preserve">EBITDA</t>
  </si>
  <si>
    <t xml:space="preserve">EBITDA/SL</t>
  </si>
  <si>
    <t xml:space="preserve">gain</t>
  </si>
  <si>
    <t xml:space="preserve">이익</t>
  </si>
  <si>
    <t xml:space="preserve">figures</t>
  </si>
  <si>
    <t xml:space="preserve">수치</t>
  </si>
  <si>
    <r>
      <rPr>
        <sz val="10"/>
        <rFont val="Noto Sans CJK SC"/>
        <family val="2"/>
      </rPr>
      <t xml:space="preserve">수치</t>
    </r>
    <r>
      <rPr>
        <sz val="10"/>
        <rFont val="Arial"/>
        <family val="0"/>
        <charset val="1"/>
      </rPr>
      <t xml:space="preserve">/NNG</t>
    </r>
  </si>
  <si>
    <t xml:space="preserve">income</t>
  </si>
  <si>
    <t xml:space="preserve">소득</t>
  </si>
  <si>
    <r>
      <rPr>
        <sz val="10"/>
        <rFont val="Noto Sans CJK SC"/>
        <family val="2"/>
      </rPr>
      <t xml:space="preserve">소득</t>
    </r>
    <r>
      <rPr>
        <sz val="10"/>
        <rFont val="Arial"/>
        <family val="0"/>
        <charset val="1"/>
      </rPr>
      <t xml:space="preserve">/NNG</t>
    </r>
  </si>
  <si>
    <t xml:space="preserve">numbers</t>
  </si>
  <si>
    <t xml:space="preserve">숫자</t>
  </si>
  <si>
    <r>
      <rPr>
        <sz val="10"/>
        <rFont val="Noto Sans CJK SC"/>
        <family val="2"/>
      </rPr>
      <t xml:space="preserve">숫자</t>
    </r>
    <r>
      <rPr>
        <sz val="10"/>
        <rFont val="Arial"/>
        <family val="0"/>
        <charset val="1"/>
      </rPr>
      <t xml:space="preserve">/NNG</t>
    </r>
  </si>
  <si>
    <t xml:space="preserve">net</t>
  </si>
  <si>
    <t xml:space="preserve">순</t>
  </si>
  <si>
    <r>
      <rPr>
        <sz val="10"/>
        <rFont val="Noto Sans CJK SC"/>
        <family val="2"/>
      </rPr>
      <t xml:space="preserve">순</t>
    </r>
    <r>
      <rPr>
        <sz val="10"/>
        <rFont val="Arial"/>
        <family val="0"/>
        <charset val="1"/>
      </rPr>
      <t xml:space="preserve">/NNG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</si>
  <si>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음절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과잉매칭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</si>
  <si>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net </t>
    </r>
    <r>
      <rPr>
        <sz val="10"/>
        <rFont val="Noto Sans CJK SC"/>
        <family val="2"/>
      </rPr>
      <t xml:space="preserve">번역</t>
    </r>
    <r>
      <rPr>
        <sz val="10"/>
        <rFont val="Arial"/>
        <family val="0"/>
        <charset val="1"/>
      </rPr>
      <t xml:space="preserve">. 1</t>
    </r>
    <r>
      <rPr>
        <sz val="10"/>
        <rFont val="Noto Sans CJK SC"/>
        <family val="2"/>
      </rPr>
      <t xml:space="preserve">음절 → 과잉매칭</t>
    </r>
    <r>
      <rPr>
        <sz val="10"/>
        <rFont val="Arial"/>
        <family val="0"/>
        <charset val="1"/>
      </rPr>
      <t xml:space="preserve">. '</t>
    </r>
    <r>
      <rPr>
        <sz val="10"/>
        <rFont val="Noto Sans CJK SC"/>
        <family val="2"/>
      </rPr>
      <t xml:space="preserve">순이익</t>
    </r>
    <r>
      <rPr>
        <sz val="10"/>
        <rFont val="Arial"/>
        <family val="0"/>
        <charset val="1"/>
      </rPr>
      <t xml:space="preserve">','</t>
    </r>
    <r>
      <rPr>
        <sz val="10"/>
        <rFont val="Noto Sans CJK SC"/>
        <family val="2"/>
      </rPr>
      <t xml:space="preserve">순매출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로 대체 권장</t>
    </r>
  </si>
  <si>
    <t xml:space="preserve">bottom-line</t>
  </si>
  <si>
    <t xml:space="preserve">순이익</t>
  </si>
  <si>
    <r>
      <rPr>
        <sz val="10"/>
        <rFont val="Noto Sans CJK SC"/>
        <family val="2"/>
      </rPr>
      <t xml:space="preserve">순이익</t>
    </r>
    <r>
      <rPr>
        <sz val="10"/>
        <rFont val="Arial"/>
        <family val="0"/>
        <charset val="1"/>
      </rPr>
      <t xml:space="preserve">/NNG</t>
    </r>
  </si>
  <si>
    <t xml:space="preserve">remunerative</t>
  </si>
  <si>
    <t xml:space="preserve">recompense</t>
  </si>
  <si>
    <t xml:space="preserve">fruitful</t>
  </si>
  <si>
    <t xml:space="preserve">결실</t>
  </si>
  <si>
    <r>
      <rPr>
        <sz val="10"/>
        <rFont val="Noto Sans CJK SC"/>
        <family val="2"/>
      </rPr>
      <t xml:space="preserve">결실</t>
    </r>
    <r>
      <rPr>
        <sz val="10"/>
        <rFont val="Arial"/>
        <family val="0"/>
        <charset val="1"/>
      </rPr>
      <t xml:space="preserve">/NNG</t>
    </r>
  </si>
  <si>
    <t xml:space="preserve">surplus</t>
  </si>
  <si>
    <t xml:space="preserve">흑자</t>
  </si>
  <si>
    <r>
      <rPr>
        <sz val="10"/>
        <rFont val="Noto Sans CJK SC"/>
        <family val="2"/>
      </rPr>
      <t xml:space="preserve">흑자</t>
    </r>
    <r>
      <rPr>
        <sz val="10"/>
        <rFont val="Arial"/>
        <family val="0"/>
        <charset val="1"/>
      </rPr>
      <t xml:space="preserve">/NNG</t>
    </r>
  </si>
  <si>
    <t xml:space="preserve">잉여</t>
  </si>
  <si>
    <r>
      <rPr>
        <sz val="10"/>
        <rFont val="Noto Sans CJK SC"/>
        <family val="2"/>
      </rPr>
      <t xml:space="preserve">잉여</t>
    </r>
    <r>
      <rPr>
        <sz val="10"/>
        <rFont val="Arial"/>
        <family val="0"/>
        <charset val="1"/>
      </rPr>
      <t xml:space="preserve">/NNG</t>
    </r>
  </si>
  <si>
    <t xml:space="preserve">lucrative</t>
  </si>
  <si>
    <t xml:space="preserve">고수익</t>
  </si>
  <si>
    <r>
      <rPr>
        <sz val="10"/>
        <rFont val="Noto Sans CJK SC"/>
        <family val="2"/>
      </rPr>
      <t xml:space="preserve">고</t>
    </r>
    <r>
      <rPr>
        <sz val="10"/>
        <rFont val="Arial"/>
        <family val="0"/>
        <charset val="1"/>
      </rPr>
      <t xml:space="preserve">/XPN + </t>
    </r>
    <r>
      <rPr>
        <sz val="10"/>
        <rFont val="Noto Sans CJK SC"/>
        <family val="2"/>
      </rPr>
      <t xml:space="preserve">수익</t>
    </r>
    <r>
      <rPr>
        <sz val="10"/>
        <rFont val="Arial"/>
        <family val="0"/>
        <charset val="1"/>
      </rPr>
      <t xml:space="preserve">/NNG</t>
    </r>
  </si>
  <si>
    <r>
      <rPr>
        <sz val="10"/>
        <rFont val="Noto Sans CJK SC"/>
        <family val="2"/>
      </rPr>
      <t xml:space="preserve">차원내 중복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句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매칭</t>
    </r>
  </si>
  <si>
    <t xml:space="preserve">excess</t>
  </si>
  <si>
    <t xml:space="preserve">초과</t>
  </si>
  <si>
    <r>
      <rPr>
        <sz val="10"/>
        <rFont val="Noto Sans CJK SC"/>
        <family val="2"/>
      </rPr>
      <t xml:space="preserve">초과</t>
    </r>
    <r>
      <rPr>
        <sz val="10"/>
        <rFont val="Arial"/>
        <family val="0"/>
        <charset val="1"/>
      </rPr>
      <t xml:space="preserve">/NNG</t>
    </r>
  </si>
  <si>
    <t xml:space="preserve">pay</t>
  </si>
  <si>
    <t xml:space="preserve">급여</t>
  </si>
  <si>
    <r>
      <rPr>
        <sz val="10"/>
        <rFont val="Noto Sans CJK SC"/>
        <family val="2"/>
      </rPr>
      <t xml:space="preserve">급여</t>
    </r>
    <r>
      <rPr>
        <sz val="10"/>
        <rFont val="Arial"/>
        <family val="0"/>
        <charset val="1"/>
      </rPr>
      <t xml:space="preserve">/NNG</t>
    </r>
  </si>
  <si>
    <t xml:space="preserve">advantage</t>
  </si>
  <si>
    <t xml:space="preserve">우위</t>
  </si>
  <si>
    <r>
      <rPr>
        <sz val="10"/>
        <rFont val="Noto Sans CJK SC"/>
        <family val="2"/>
      </rPr>
      <t xml:space="preserve">우위</t>
    </r>
    <r>
      <rPr>
        <sz val="10"/>
        <rFont val="Arial"/>
        <family val="0"/>
        <charset val="1"/>
      </rPr>
      <t xml:space="preserve">/NNG</t>
    </r>
  </si>
  <si>
    <r>
      <rPr>
        <sz val="10"/>
        <rFont val="Arial"/>
        <family val="0"/>
        <charset val="1"/>
      </rPr>
      <t xml:space="preserve">logos(advantage)·ethos(supremacy) </t>
    </r>
    <r>
      <rPr>
        <sz val="10"/>
        <rFont val="Noto Sans CJK SC"/>
        <family val="2"/>
      </rPr>
      <t xml:space="preserve">양쪽</t>
    </r>
    <r>
      <rPr>
        <sz val="10"/>
        <rFont val="Arial"/>
        <family val="0"/>
        <charset val="1"/>
      </rPr>
      <t xml:space="preserve">; '</t>
    </r>
    <r>
      <rPr>
        <sz val="10"/>
        <rFont val="Noto Sans CJK SC"/>
        <family val="2"/>
      </rPr>
      <t xml:space="preserve">경쟁 우위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logos</t>
    </r>
  </si>
  <si>
    <t xml:space="preserve">well-paying</t>
  </si>
  <si>
    <t xml:space="preserve">efficacy</t>
  </si>
  <si>
    <t xml:space="preserve">효능</t>
  </si>
  <si>
    <r>
      <rPr>
        <sz val="10"/>
        <rFont val="Noto Sans CJK SC"/>
        <family val="2"/>
      </rPr>
      <t xml:space="preserve">효능</t>
    </r>
    <r>
      <rPr>
        <sz val="10"/>
        <rFont val="Arial"/>
        <family val="0"/>
        <charset val="1"/>
      </rPr>
      <t xml:space="preserve">/NNG</t>
    </r>
  </si>
  <si>
    <t xml:space="preserve">money</t>
  </si>
  <si>
    <t xml:space="preserve">돈</t>
  </si>
  <si>
    <r>
      <rPr>
        <sz val="10"/>
        <rFont val="Noto Sans CJK SC"/>
        <family val="2"/>
      </rPr>
      <t xml:space="preserve">돈</t>
    </r>
    <r>
      <rPr>
        <sz val="10"/>
        <rFont val="Arial"/>
        <family val="0"/>
        <charset val="1"/>
      </rPr>
      <t xml:space="preserve">/NNG</t>
    </r>
  </si>
  <si>
    <t xml:space="preserve">opportunity</t>
  </si>
  <si>
    <t xml:space="preserve">기회</t>
  </si>
  <si>
    <r>
      <rPr>
        <sz val="10"/>
        <rFont val="Noto Sans CJK SC"/>
        <family val="2"/>
      </rPr>
      <t xml:space="preserve">기회</t>
    </r>
    <r>
      <rPr>
        <sz val="10"/>
        <rFont val="Arial"/>
        <family val="0"/>
        <charset val="1"/>
      </rPr>
      <t xml:space="preserve">/NNG</t>
    </r>
  </si>
  <si>
    <t xml:space="preserve">time</t>
  </si>
  <si>
    <t xml:space="preserve">시간</t>
  </si>
  <si>
    <r>
      <rPr>
        <sz val="10"/>
        <rFont val="Noto Sans CJK SC"/>
        <family val="2"/>
      </rPr>
      <t xml:space="preserve">시간</t>
    </r>
    <r>
      <rPr>
        <sz val="10"/>
        <rFont val="Arial"/>
        <family val="0"/>
        <charset val="1"/>
      </rPr>
      <t xml:space="preserve">/NNG</t>
    </r>
  </si>
  <si>
    <r>
      <rPr>
        <sz val="10"/>
        <rFont val="Arial"/>
        <family val="0"/>
        <charset val="1"/>
      </rPr>
      <t xml:space="preserve">time(profitability). </t>
    </r>
    <r>
      <rPr>
        <sz val="10"/>
        <rFont val="Noto Sans CJK SC"/>
        <family val="2"/>
      </rPr>
      <t xml:space="preserve">원문에서도 다의어 문제로 지적된 단어</t>
    </r>
  </si>
  <si>
    <t xml:space="preserve">worthwhile</t>
  </si>
  <si>
    <t xml:space="preserve">가치 있는</t>
  </si>
  <si>
    <r>
      <rPr>
        <sz val="10"/>
        <rFont val="Noto Sans CJK SC"/>
        <family val="2"/>
      </rPr>
      <t xml:space="preserve">가치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있</t>
    </r>
    <r>
      <rPr>
        <sz val="10"/>
        <rFont val="Arial"/>
        <family val="0"/>
        <charset val="1"/>
      </rPr>
      <t xml:space="preserve">/VV + </t>
    </r>
    <r>
      <rPr>
        <sz val="10"/>
        <rFont val="Noto Sans CJK SC"/>
        <family val="2"/>
      </rPr>
      <t xml:space="preserve">는</t>
    </r>
    <r>
      <rPr>
        <sz val="10"/>
        <rFont val="Arial"/>
        <family val="0"/>
        <charset val="1"/>
      </rPr>
      <t xml:space="preserve">/ETM</t>
    </r>
  </si>
  <si>
    <r>
      <rPr>
        <sz val="10"/>
        <rFont val="Noto Sans CJK SC"/>
        <family val="2"/>
      </rPr>
      <t xml:space="preserve">가치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있</t>
    </r>
    <r>
      <rPr>
        <sz val="10"/>
        <rFont val="Arial"/>
        <family val="0"/>
        <charset val="1"/>
      </rPr>
      <t xml:space="preserve">/VV</t>
    </r>
  </si>
  <si>
    <t xml:space="preserve">increment</t>
  </si>
  <si>
    <t xml:space="preserve">증분</t>
  </si>
  <si>
    <r>
      <rPr>
        <sz val="10"/>
        <rFont val="Noto Sans CJK SC"/>
        <family val="2"/>
      </rPr>
      <t xml:space="preserve">증분</t>
    </r>
    <r>
      <rPr>
        <sz val="10"/>
        <rFont val="Arial"/>
        <family val="0"/>
        <charset val="1"/>
      </rPr>
      <t xml:space="preserve">/NNG</t>
    </r>
  </si>
  <si>
    <t xml:space="preserve">valuable</t>
  </si>
  <si>
    <t xml:space="preserve">가치</t>
  </si>
  <si>
    <r>
      <rPr>
        <sz val="10"/>
        <rFont val="Noto Sans CJK SC"/>
        <family val="2"/>
      </rPr>
      <t xml:space="preserve">가치</t>
    </r>
    <r>
      <rPr>
        <sz val="10"/>
        <rFont val="Arial"/>
        <family val="0"/>
        <charset val="1"/>
      </rPr>
      <t xml:space="preserve">/NNG</t>
    </r>
  </si>
  <si>
    <r>
      <rPr>
        <sz val="10"/>
        <rFont val="Arial"/>
        <family val="0"/>
        <charset val="1"/>
      </rPr>
      <t xml:space="preserve">logos(valuable)·ethos(worthy) </t>
    </r>
    <r>
      <rPr>
        <sz val="10"/>
        <rFont val="Noto Sans CJK SC"/>
        <family val="2"/>
      </rPr>
      <t xml:space="preserve">양쪽</t>
    </r>
    <r>
      <rPr>
        <sz val="10"/>
        <rFont val="Arial"/>
        <family val="0"/>
        <charset val="1"/>
      </rPr>
      <t xml:space="preserve">; '</t>
    </r>
    <r>
      <rPr>
        <sz val="10"/>
        <rFont val="Noto Sans CJK SC"/>
        <family val="2"/>
      </rPr>
      <t xml:space="preserve">가치사슬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등 과잉매칭</t>
    </r>
  </si>
  <si>
    <t xml:space="preserve">augmentation</t>
  </si>
  <si>
    <t xml:space="preserve">증대</t>
  </si>
  <si>
    <r>
      <rPr>
        <sz val="10"/>
        <rFont val="Noto Sans CJK SC"/>
        <family val="2"/>
      </rPr>
      <t xml:space="preserve">증대</t>
    </r>
    <r>
      <rPr>
        <sz val="10"/>
        <rFont val="Arial"/>
        <family val="0"/>
        <charset val="1"/>
      </rPr>
      <t xml:space="preserve">/NNG</t>
    </r>
  </si>
  <si>
    <t xml:space="preserve">invaluable</t>
  </si>
  <si>
    <t xml:space="preserve">귀중</t>
  </si>
  <si>
    <r>
      <rPr>
        <sz val="10"/>
        <rFont val="Noto Sans CJK SC"/>
        <family val="2"/>
      </rPr>
      <t xml:space="preserve">귀중</t>
    </r>
    <r>
      <rPr>
        <sz val="10"/>
        <rFont val="Arial"/>
        <family val="0"/>
        <charset val="1"/>
      </rPr>
      <t xml:space="preserve">/XR</t>
    </r>
  </si>
  <si>
    <t xml:space="preserve">conducive</t>
  </si>
  <si>
    <t xml:space="preserve">도움이 되는</t>
  </si>
  <si>
    <r>
      <rPr>
        <sz val="10"/>
        <rFont val="Noto Sans CJK SC"/>
        <family val="2"/>
      </rPr>
      <t xml:space="preserve">도움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이</t>
    </r>
    <r>
      <rPr>
        <sz val="10"/>
        <rFont val="Arial"/>
        <family val="0"/>
        <charset val="1"/>
      </rPr>
      <t xml:space="preserve">/JKC + </t>
    </r>
    <r>
      <rPr>
        <sz val="10"/>
        <rFont val="Noto Sans CJK SC"/>
        <family val="2"/>
      </rPr>
      <t xml:space="preserve">되</t>
    </r>
    <r>
      <rPr>
        <sz val="10"/>
        <rFont val="Arial"/>
        <family val="0"/>
        <charset val="1"/>
      </rPr>
      <t xml:space="preserve">/VV + </t>
    </r>
    <r>
      <rPr>
        <sz val="10"/>
        <rFont val="Noto Sans CJK SC"/>
        <family val="2"/>
      </rPr>
      <t xml:space="preserve">는</t>
    </r>
    <r>
      <rPr>
        <sz val="10"/>
        <rFont val="Arial"/>
        <family val="0"/>
        <charset val="1"/>
      </rPr>
      <t xml:space="preserve">/ETM</t>
    </r>
  </si>
  <si>
    <r>
      <rPr>
        <sz val="10"/>
        <rFont val="Noto Sans CJK SC"/>
        <family val="2"/>
      </rPr>
      <t xml:space="preserve">도움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되</t>
    </r>
    <r>
      <rPr>
        <sz val="10"/>
        <rFont val="Arial"/>
        <family val="0"/>
        <charset val="1"/>
      </rPr>
      <t xml:space="preserve">/VV</t>
    </r>
  </si>
  <si>
    <t xml:space="preserve">improve</t>
  </si>
  <si>
    <t xml:space="preserve">개선</t>
  </si>
  <si>
    <r>
      <rPr>
        <sz val="10"/>
        <rFont val="Noto Sans CJK SC"/>
        <family val="2"/>
      </rPr>
      <t xml:space="preserve">개선</t>
    </r>
    <r>
      <rPr>
        <sz val="10"/>
        <rFont val="Arial"/>
        <family val="0"/>
        <charset val="1"/>
      </rPr>
      <t xml:space="preserve">/NNG</t>
    </r>
  </si>
  <si>
    <t xml:space="preserve">향상</t>
  </si>
  <si>
    <r>
      <rPr>
        <sz val="10"/>
        <rFont val="Noto Sans CJK SC"/>
        <family val="2"/>
      </rPr>
      <t xml:space="preserve">향상</t>
    </r>
    <r>
      <rPr>
        <sz val="10"/>
        <rFont val="Arial"/>
        <family val="0"/>
        <charset val="1"/>
      </rPr>
      <t xml:space="preserve">/NNG</t>
    </r>
  </si>
  <si>
    <t xml:space="preserve">better</t>
  </si>
  <si>
    <t xml:space="preserve">더 나은</t>
  </si>
  <si>
    <r>
      <rPr>
        <sz val="10"/>
        <rFont val="Noto Sans CJK SC"/>
        <family val="2"/>
      </rPr>
      <t xml:space="preserve">더</t>
    </r>
    <r>
      <rPr>
        <sz val="10"/>
        <rFont val="Arial"/>
        <family val="0"/>
        <charset val="1"/>
      </rPr>
      <t xml:space="preserve">/MAG + </t>
    </r>
    <r>
      <rPr>
        <sz val="10"/>
        <rFont val="Noto Sans CJK SC"/>
        <family val="2"/>
      </rPr>
      <t xml:space="preserve">낫</t>
    </r>
    <r>
      <rPr>
        <sz val="10"/>
        <rFont val="Arial"/>
        <family val="0"/>
        <charset val="1"/>
      </rPr>
      <t xml:space="preserve">/VA + </t>
    </r>
    <r>
      <rPr>
        <sz val="10"/>
        <rFont val="Noto Sans CJK SC"/>
        <family val="2"/>
      </rPr>
      <t xml:space="preserve">은</t>
    </r>
    <r>
      <rPr>
        <sz val="10"/>
        <rFont val="Arial"/>
        <family val="0"/>
        <charset val="1"/>
      </rPr>
      <t xml:space="preserve">/ETM</t>
    </r>
  </si>
  <si>
    <r>
      <rPr>
        <sz val="10"/>
        <rFont val="Noto Sans CJK SC"/>
        <family val="2"/>
      </rPr>
      <t xml:space="preserve">더</t>
    </r>
    <r>
      <rPr>
        <sz val="10"/>
        <rFont val="Arial"/>
        <family val="0"/>
        <charset val="1"/>
      </rPr>
      <t xml:space="preserve">/MAG + </t>
    </r>
    <r>
      <rPr>
        <sz val="10"/>
        <rFont val="Noto Sans CJK SC"/>
        <family val="2"/>
      </rPr>
      <t xml:space="preserve">낫</t>
    </r>
    <r>
      <rPr>
        <sz val="10"/>
        <rFont val="Arial"/>
        <family val="0"/>
        <charset val="1"/>
      </rPr>
      <t xml:space="preserve">/VA</t>
    </r>
  </si>
  <si>
    <t xml:space="preserve">budget</t>
  </si>
  <si>
    <t xml:space="preserve">예산</t>
  </si>
  <si>
    <r>
      <rPr>
        <sz val="10"/>
        <rFont val="Noto Sans CJK SC"/>
        <family val="2"/>
      </rPr>
      <t xml:space="preserve">예산</t>
    </r>
    <r>
      <rPr>
        <sz val="10"/>
        <rFont val="Arial"/>
        <family val="0"/>
        <charset val="1"/>
      </rPr>
      <t xml:space="preserve">/NNG</t>
    </r>
  </si>
  <si>
    <t xml:space="preserve">exploit</t>
  </si>
  <si>
    <t xml:space="preserve">활용</t>
  </si>
  <si>
    <r>
      <rPr>
        <sz val="10"/>
        <rFont val="Noto Sans CJK SC"/>
        <family val="2"/>
      </rPr>
      <t xml:space="preserve">활용</t>
    </r>
    <r>
      <rPr>
        <sz val="10"/>
        <rFont val="Arial"/>
        <family val="0"/>
        <charset val="1"/>
      </rPr>
      <t xml:space="preserve">/NNG</t>
    </r>
  </si>
  <si>
    <t xml:space="preserve">achieve</t>
  </si>
  <si>
    <t xml:space="preserve">달성</t>
  </si>
  <si>
    <r>
      <rPr>
        <sz val="10"/>
        <rFont val="Noto Sans CJK SC"/>
        <family val="2"/>
      </rPr>
      <t xml:space="preserve">달성</t>
    </r>
    <r>
      <rPr>
        <sz val="10"/>
        <rFont val="Arial"/>
        <family val="0"/>
        <charset val="1"/>
      </rPr>
      <t xml:space="preserve">/NNG</t>
    </r>
  </si>
  <si>
    <t xml:space="preserve">capital</t>
  </si>
  <si>
    <t xml:space="preserve">자본</t>
  </si>
  <si>
    <r>
      <rPr>
        <sz val="10"/>
        <rFont val="Noto Sans CJK SC"/>
        <family val="2"/>
      </rPr>
      <t xml:space="preserve">자본</t>
    </r>
    <r>
      <rPr>
        <sz val="10"/>
        <rFont val="Arial"/>
        <family val="0"/>
        <charset val="1"/>
      </rPr>
      <t xml:space="preserve">/NNG</t>
    </r>
  </si>
  <si>
    <t xml:space="preserve">method</t>
  </si>
  <si>
    <t xml:space="preserve">방법</t>
  </si>
  <si>
    <r>
      <rPr>
        <sz val="10"/>
        <rFont val="Noto Sans CJK SC"/>
        <family val="2"/>
      </rPr>
      <t xml:space="preserve">방법</t>
    </r>
    <r>
      <rPr>
        <sz val="10"/>
        <rFont val="Arial"/>
        <family val="0"/>
        <charset val="1"/>
      </rPr>
      <t xml:space="preserve">/NNG</t>
    </r>
  </si>
  <si>
    <t xml:space="preserve">방식</t>
  </si>
  <si>
    <r>
      <rPr>
        <sz val="10"/>
        <rFont val="Noto Sans CJK SC"/>
        <family val="2"/>
      </rPr>
      <t xml:space="preserve">방식</t>
    </r>
    <r>
      <rPr>
        <sz val="10"/>
        <rFont val="Arial"/>
        <family val="0"/>
        <charset val="1"/>
      </rPr>
      <t xml:space="preserve">/NNG</t>
    </r>
  </si>
  <si>
    <t xml:space="preserve">plan</t>
  </si>
  <si>
    <t xml:space="preserve">계획</t>
  </si>
  <si>
    <r>
      <rPr>
        <sz val="10"/>
        <rFont val="Noto Sans CJK SC"/>
        <family val="2"/>
      </rPr>
      <t xml:space="preserve">계획</t>
    </r>
    <r>
      <rPr>
        <sz val="10"/>
        <rFont val="Arial"/>
        <family val="0"/>
        <charset val="1"/>
      </rPr>
      <t xml:space="preserve">/NNG</t>
    </r>
  </si>
  <si>
    <t xml:space="preserve">activities</t>
  </si>
  <si>
    <t xml:space="preserve">활동</t>
  </si>
  <si>
    <r>
      <rPr>
        <sz val="10"/>
        <rFont val="Noto Sans CJK SC"/>
        <family val="2"/>
      </rPr>
      <t xml:space="preserve">활동</t>
    </r>
    <r>
      <rPr>
        <sz val="10"/>
        <rFont val="Arial"/>
        <family val="0"/>
        <charset val="1"/>
      </rPr>
      <t xml:space="preserve">/NNG</t>
    </r>
  </si>
  <si>
    <t xml:space="preserve">allocate</t>
  </si>
  <si>
    <t xml:space="preserve">배분</t>
  </si>
  <si>
    <r>
      <rPr>
        <sz val="10"/>
        <rFont val="Noto Sans CJK SC"/>
        <family val="2"/>
      </rPr>
      <t xml:space="preserve">배분</t>
    </r>
    <r>
      <rPr>
        <sz val="10"/>
        <rFont val="Arial"/>
        <family val="0"/>
        <charset val="1"/>
      </rPr>
      <t xml:space="preserve">/NNG</t>
    </r>
  </si>
  <si>
    <t xml:space="preserve">contract</t>
  </si>
  <si>
    <t xml:space="preserve">계약</t>
  </si>
  <si>
    <r>
      <rPr>
        <sz val="10"/>
        <rFont val="Noto Sans CJK SC"/>
        <family val="2"/>
      </rPr>
      <t xml:space="preserve">계약</t>
    </r>
    <r>
      <rPr>
        <sz val="10"/>
        <rFont val="Arial"/>
        <family val="0"/>
        <charset val="1"/>
      </rPr>
      <t xml:space="preserve">/NNG</t>
    </r>
  </si>
  <si>
    <t xml:space="preserve">assign</t>
  </si>
  <si>
    <t xml:space="preserve">배정</t>
  </si>
  <si>
    <r>
      <rPr>
        <sz val="10"/>
        <rFont val="Noto Sans CJK SC"/>
        <family val="2"/>
      </rPr>
      <t xml:space="preserve">배정</t>
    </r>
    <r>
      <rPr>
        <sz val="10"/>
        <rFont val="Arial"/>
        <family val="0"/>
        <charset val="1"/>
      </rPr>
      <t xml:space="preserve">/NNG</t>
    </r>
  </si>
  <si>
    <t xml:space="preserve">authorize</t>
  </si>
  <si>
    <t xml:space="preserve">승인</t>
  </si>
  <si>
    <r>
      <rPr>
        <sz val="10"/>
        <rFont val="Noto Sans CJK SC"/>
        <family val="2"/>
      </rPr>
      <t xml:space="preserve">승인</t>
    </r>
    <r>
      <rPr>
        <sz val="10"/>
        <rFont val="Arial"/>
        <family val="0"/>
        <charset val="1"/>
      </rPr>
      <t xml:space="preserve">/NNG</t>
    </r>
  </si>
  <si>
    <t xml:space="preserve">model</t>
  </si>
  <si>
    <t xml:space="preserve">모델</t>
  </si>
  <si>
    <r>
      <rPr>
        <sz val="10"/>
        <rFont val="Noto Sans CJK SC"/>
        <family val="2"/>
      </rPr>
      <t xml:space="preserve">모델</t>
    </r>
    <r>
      <rPr>
        <sz val="10"/>
        <rFont val="Arial"/>
        <family val="0"/>
        <charset val="1"/>
      </rPr>
      <t xml:space="preserve">/NNG</t>
    </r>
  </si>
  <si>
    <t xml:space="preserve">require</t>
  </si>
  <si>
    <t xml:space="preserve">요구</t>
  </si>
  <si>
    <r>
      <rPr>
        <sz val="10"/>
        <rFont val="Noto Sans CJK SC"/>
        <family val="2"/>
      </rPr>
      <t xml:space="preserve">요구</t>
    </r>
    <r>
      <rPr>
        <sz val="10"/>
        <rFont val="Arial"/>
        <family val="0"/>
        <charset val="1"/>
      </rPr>
      <t xml:space="preserve">/NNG</t>
    </r>
  </si>
  <si>
    <t xml:space="preserve">policy</t>
  </si>
  <si>
    <t xml:space="preserve">정책</t>
  </si>
  <si>
    <r>
      <rPr>
        <sz val="10"/>
        <rFont val="Noto Sans CJK SC"/>
        <family val="2"/>
      </rPr>
      <t xml:space="preserve">정책</t>
    </r>
    <r>
      <rPr>
        <sz val="10"/>
        <rFont val="Arial"/>
        <family val="0"/>
        <charset val="1"/>
      </rPr>
      <t xml:space="preserve">/NNG</t>
    </r>
  </si>
  <si>
    <t xml:space="preserve">impose</t>
  </si>
  <si>
    <t xml:space="preserve">부과</t>
  </si>
  <si>
    <r>
      <rPr>
        <sz val="10"/>
        <rFont val="Noto Sans CJK SC"/>
        <family val="2"/>
      </rPr>
      <t xml:space="preserve">부과</t>
    </r>
    <r>
      <rPr>
        <sz val="10"/>
        <rFont val="Arial"/>
        <family val="0"/>
        <charset val="1"/>
      </rPr>
      <t xml:space="preserve">/NNG</t>
    </r>
  </si>
  <si>
    <t xml:space="preserve">structure</t>
  </si>
  <si>
    <t xml:space="preserve">구조</t>
  </si>
  <si>
    <r>
      <rPr>
        <sz val="10"/>
        <rFont val="Noto Sans CJK SC"/>
        <family val="2"/>
      </rPr>
      <t xml:space="preserve">구조</t>
    </r>
    <r>
      <rPr>
        <sz val="10"/>
        <rFont val="Arial"/>
        <family val="0"/>
        <charset val="1"/>
      </rPr>
      <t xml:space="preserve">/NNG</t>
    </r>
  </si>
  <si>
    <t xml:space="preserve">restructure</t>
  </si>
  <si>
    <t xml:space="preserve">구조조정</t>
  </si>
  <si>
    <r>
      <rPr>
        <sz val="10"/>
        <rFont val="Noto Sans CJK SC"/>
        <family val="2"/>
      </rPr>
      <t xml:space="preserve">구조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조정</t>
    </r>
    <r>
      <rPr>
        <sz val="10"/>
        <rFont val="Arial"/>
        <family val="0"/>
        <charset val="1"/>
      </rPr>
      <t xml:space="preserve">/NNG</t>
    </r>
  </si>
  <si>
    <t xml:space="preserve">expect</t>
  </si>
  <si>
    <t xml:space="preserve">예상</t>
  </si>
  <si>
    <r>
      <rPr>
        <sz val="10"/>
        <rFont val="Noto Sans CJK SC"/>
        <family val="2"/>
      </rPr>
      <t xml:space="preserve">예상</t>
    </r>
    <r>
      <rPr>
        <sz val="10"/>
        <rFont val="Arial"/>
        <family val="0"/>
        <charset val="1"/>
      </rPr>
      <t xml:space="preserve">/NNG</t>
    </r>
  </si>
  <si>
    <t xml:space="preserve">unconditional</t>
  </si>
  <si>
    <t xml:space="preserve">무조건</t>
  </si>
  <si>
    <r>
      <rPr>
        <sz val="10"/>
        <rFont val="Noto Sans CJK SC"/>
        <family val="2"/>
      </rPr>
      <t xml:space="preserve">무조건</t>
    </r>
    <r>
      <rPr>
        <sz val="10"/>
        <rFont val="Arial"/>
        <family val="0"/>
        <charset val="1"/>
      </rPr>
      <t xml:space="preserve">/MAG</t>
    </r>
  </si>
  <si>
    <t xml:space="preserve">conditional</t>
  </si>
  <si>
    <t xml:space="preserve">조건</t>
  </si>
  <si>
    <r>
      <rPr>
        <sz val="10"/>
        <rFont val="Noto Sans CJK SC"/>
        <family val="2"/>
      </rPr>
      <t xml:space="preserve">조건</t>
    </r>
    <r>
      <rPr>
        <sz val="10"/>
        <rFont val="Arial"/>
        <family val="0"/>
        <charset val="1"/>
      </rPr>
      <t xml:space="preserve">/NNG</t>
    </r>
  </si>
  <si>
    <t xml:space="preserve">modify</t>
  </si>
  <si>
    <t xml:space="preserve">수정</t>
  </si>
  <si>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/NNG</t>
    </r>
  </si>
  <si>
    <t xml:space="preserve">orchestrate</t>
  </si>
  <si>
    <t xml:space="preserve">조율</t>
  </si>
  <si>
    <r>
      <rPr>
        <sz val="10"/>
        <rFont val="Noto Sans CJK SC"/>
        <family val="2"/>
      </rPr>
      <t xml:space="preserve">조율</t>
    </r>
    <r>
      <rPr>
        <sz val="10"/>
        <rFont val="Arial"/>
        <family val="0"/>
        <charset val="1"/>
      </rPr>
      <t xml:space="preserve">/NNG</t>
    </r>
  </si>
  <si>
    <t xml:space="preserve">mode</t>
  </si>
  <si>
    <t xml:space="preserve">모드</t>
  </si>
  <si>
    <r>
      <rPr>
        <sz val="10"/>
        <rFont val="Noto Sans CJK SC"/>
        <family val="2"/>
      </rPr>
      <t xml:space="preserve">모드</t>
    </r>
    <r>
      <rPr>
        <sz val="10"/>
        <rFont val="Arial"/>
        <family val="0"/>
        <charset val="1"/>
      </rPr>
      <t xml:space="preserve">/NNG</t>
    </r>
  </si>
  <si>
    <t xml:space="preserve">uniform</t>
  </si>
  <si>
    <t xml:space="preserve">균일</t>
  </si>
  <si>
    <r>
      <rPr>
        <sz val="10"/>
        <rFont val="Noto Sans CJK SC"/>
        <family val="2"/>
      </rPr>
      <t xml:space="preserve">균일</t>
    </r>
    <r>
      <rPr>
        <sz val="10"/>
        <rFont val="Arial"/>
        <family val="0"/>
        <charset val="1"/>
      </rPr>
      <t xml:space="preserve">/NNG</t>
    </r>
  </si>
  <si>
    <t xml:space="preserve">process</t>
  </si>
  <si>
    <t xml:space="preserve">공정</t>
  </si>
  <si>
    <r>
      <rPr>
        <sz val="10"/>
        <rFont val="Noto Sans CJK SC"/>
        <family val="2"/>
      </rPr>
      <t xml:space="preserve">공정</t>
    </r>
    <r>
      <rPr>
        <sz val="10"/>
        <rFont val="Arial"/>
        <family val="0"/>
        <charset val="1"/>
      </rPr>
      <t xml:space="preserve">/NNG</t>
    </r>
  </si>
  <si>
    <r>
      <rPr>
        <sz val="10"/>
        <rFont val="Noto Sans CJK SC"/>
        <family val="2"/>
      </rPr>
      <t xml:space="preserve">동음이의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工程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제조 공정</t>
    </r>
    <r>
      <rPr>
        <sz val="10"/>
        <rFont val="Arial"/>
        <family val="0"/>
        <charset val="1"/>
      </rPr>
      <t xml:space="preserve">=logos) vs </t>
    </r>
    <r>
      <rPr>
        <sz val="10"/>
        <rFont val="Noto Sans CJK SC"/>
        <family val="2"/>
      </rPr>
      <t xml:space="preserve">公正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공정하다</t>
    </r>
    <r>
      <rPr>
        <sz val="10"/>
        <rFont val="Arial"/>
        <family val="0"/>
        <charset val="1"/>
      </rPr>
      <t xml:space="preserve">=ethos). '</t>
    </r>
    <r>
      <rPr>
        <sz val="10"/>
        <rFont val="Noto Sans CJK SC"/>
        <family val="2"/>
      </rPr>
      <t xml:space="preserve">공정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하</t>
    </r>
    <r>
      <rPr>
        <sz val="10"/>
        <rFont val="Arial"/>
        <family val="0"/>
        <charset val="1"/>
      </rPr>
      <t xml:space="preserve">(XSA)'</t>
    </r>
    <r>
      <rPr>
        <sz val="10"/>
        <rFont val="Noto Sans CJK SC"/>
        <family val="2"/>
      </rPr>
      <t xml:space="preserve">면 公正으로 분리 가능</t>
    </r>
  </si>
  <si>
    <t xml:space="preserve">프로세스</t>
  </si>
  <si>
    <r>
      <rPr>
        <sz val="10"/>
        <rFont val="Noto Sans CJK SC"/>
        <family val="2"/>
      </rPr>
      <t xml:space="preserve">프로세스</t>
    </r>
    <r>
      <rPr>
        <sz val="10"/>
        <rFont val="Arial"/>
        <family val="0"/>
        <charset val="1"/>
      </rPr>
      <t xml:space="preserve">/NNG</t>
    </r>
  </si>
  <si>
    <r>
      <rPr>
        <sz val="10"/>
        <rFont val="Arial"/>
        <family val="0"/>
        <charset val="1"/>
      </rPr>
      <t xml:space="preserve">process </t>
    </r>
    <r>
      <rPr>
        <sz val="10"/>
        <rFont val="Noto Sans CJK SC"/>
        <family val="2"/>
      </rPr>
      <t xml:space="preserve">번역</t>
    </r>
    <r>
      <rPr>
        <sz val="10"/>
        <rFont val="Arial"/>
        <family val="0"/>
        <charset val="1"/>
      </rPr>
      <t xml:space="preserve">. '</t>
    </r>
    <r>
      <rPr>
        <sz val="10"/>
        <rFont val="Noto Sans CJK SC"/>
        <family val="2"/>
      </rPr>
      <t xml:space="preserve">공정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工程</t>
    </r>
    <r>
      <rPr>
        <sz val="10"/>
        <rFont val="Arial"/>
        <family val="0"/>
        <charset val="1"/>
      </rPr>
      <t xml:space="preserve">)'</t>
    </r>
    <r>
      <rPr>
        <sz val="10"/>
        <rFont val="Noto Sans CJK SC"/>
        <family val="2"/>
      </rPr>
      <t xml:space="preserve">과 함께 </t>
    </r>
    <r>
      <rPr>
        <sz val="10"/>
        <rFont val="Arial"/>
        <family val="0"/>
        <charset val="1"/>
      </rPr>
      <t xml:space="preserve">logos</t>
    </r>
  </si>
  <si>
    <t xml:space="preserve">constant</t>
  </si>
  <si>
    <t xml:space="preserve">일정</t>
  </si>
  <si>
    <r>
      <rPr>
        <sz val="10"/>
        <rFont val="Noto Sans CJK SC"/>
        <family val="2"/>
      </rPr>
      <t xml:space="preserve">일정</t>
    </r>
    <r>
      <rPr>
        <sz val="10"/>
        <rFont val="Arial"/>
        <family val="0"/>
        <charset val="1"/>
      </rPr>
      <t xml:space="preserve">/NNG</t>
    </r>
  </si>
  <si>
    <t xml:space="preserve">procedure</t>
  </si>
  <si>
    <t xml:space="preserve">절차</t>
  </si>
  <si>
    <r>
      <rPr>
        <sz val="10"/>
        <rFont val="Noto Sans CJK SC"/>
        <family val="2"/>
      </rPr>
      <t xml:space="preserve">절차</t>
    </r>
    <r>
      <rPr>
        <sz val="10"/>
        <rFont val="Arial"/>
        <family val="0"/>
        <charset val="1"/>
      </rPr>
      <t xml:space="preserve">/NNG</t>
    </r>
  </si>
  <si>
    <t xml:space="preserve">business-like</t>
  </si>
  <si>
    <t xml:space="preserve">사무적</t>
  </si>
  <si>
    <r>
      <rPr>
        <sz val="10"/>
        <rFont val="Noto Sans CJK SC"/>
        <family val="2"/>
      </rPr>
      <t xml:space="preserve">사무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적</t>
    </r>
    <r>
      <rPr>
        <sz val="10"/>
        <rFont val="Arial"/>
        <family val="0"/>
        <charset val="1"/>
      </rPr>
      <t xml:space="preserve">/XSN</t>
    </r>
  </si>
  <si>
    <r>
      <rPr>
        <sz val="10"/>
        <rFont val="Noto Sans CJK SC"/>
        <family val="2"/>
      </rPr>
      <t xml:space="preserve">사무</t>
    </r>
    <r>
      <rPr>
        <sz val="10"/>
        <rFont val="Arial"/>
        <family val="0"/>
        <charset val="1"/>
      </rPr>
      <t xml:space="preserve">/NNG</t>
    </r>
  </si>
  <si>
    <t xml:space="preserve">means</t>
  </si>
  <si>
    <t xml:space="preserve">수단</t>
  </si>
  <si>
    <r>
      <rPr>
        <sz val="10"/>
        <rFont val="Noto Sans CJK SC"/>
        <family val="2"/>
      </rPr>
      <t xml:space="preserve">수단</t>
    </r>
    <r>
      <rPr>
        <sz val="10"/>
        <rFont val="Arial"/>
        <family val="0"/>
        <charset val="1"/>
      </rPr>
      <t xml:space="preserve">/NNG</t>
    </r>
  </si>
  <si>
    <t xml:space="preserve">step-by-step</t>
  </si>
  <si>
    <t xml:space="preserve">단계적</t>
  </si>
  <si>
    <r>
      <rPr>
        <sz val="10"/>
        <rFont val="Noto Sans CJK SC"/>
        <family val="2"/>
      </rPr>
      <t xml:space="preserve">단계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적</t>
    </r>
    <r>
      <rPr>
        <sz val="10"/>
        <rFont val="Arial"/>
        <family val="0"/>
        <charset val="1"/>
      </rPr>
      <t xml:space="preserve">/XSN</t>
    </r>
  </si>
  <si>
    <r>
      <rPr>
        <sz val="10"/>
        <rFont val="Noto Sans CJK SC"/>
        <family val="2"/>
      </rPr>
      <t xml:space="preserve">단계</t>
    </r>
    <r>
      <rPr>
        <sz val="10"/>
        <rFont val="Arial"/>
        <family val="0"/>
        <charset val="1"/>
      </rPr>
      <t xml:space="preserve">/NNG</t>
    </r>
  </si>
  <si>
    <t xml:space="preserve">tabulation</t>
  </si>
  <si>
    <t xml:space="preserve">도표</t>
  </si>
  <si>
    <r>
      <rPr>
        <sz val="10"/>
        <rFont val="Noto Sans CJK SC"/>
        <family val="2"/>
      </rPr>
      <t xml:space="preserve">도표</t>
    </r>
    <r>
      <rPr>
        <sz val="10"/>
        <rFont val="Arial"/>
        <family val="0"/>
        <charset val="1"/>
      </rPr>
      <t xml:space="preserve">/NNG</t>
    </r>
  </si>
  <si>
    <t xml:space="preserve">exact</t>
  </si>
  <si>
    <t xml:space="preserve">정확</t>
  </si>
  <si>
    <r>
      <rPr>
        <sz val="10"/>
        <rFont val="Noto Sans CJK SC"/>
        <family val="2"/>
      </rPr>
      <t xml:space="preserve">정확</t>
    </r>
    <r>
      <rPr>
        <sz val="10"/>
        <rFont val="Arial"/>
        <family val="0"/>
        <charset val="1"/>
      </rPr>
      <t xml:space="preserve">/NNG</t>
    </r>
  </si>
  <si>
    <t xml:space="preserve">formula</t>
  </si>
  <si>
    <t xml:space="preserve">공식</t>
  </si>
  <si>
    <r>
      <rPr>
        <sz val="10"/>
        <rFont val="Noto Sans CJK SC"/>
        <family val="2"/>
      </rPr>
      <t xml:space="preserve">공식</t>
    </r>
    <r>
      <rPr>
        <sz val="10"/>
        <rFont val="Arial"/>
        <family val="0"/>
        <charset val="1"/>
      </rPr>
      <t xml:space="preserve">/NNG</t>
    </r>
  </si>
  <si>
    <t xml:space="preserve">meticulous</t>
  </si>
  <si>
    <t xml:space="preserve">꼼꼼</t>
  </si>
  <si>
    <r>
      <rPr>
        <sz val="10"/>
        <rFont val="Noto Sans CJK SC"/>
        <family val="2"/>
      </rPr>
      <t xml:space="preserve">꼼꼼</t>
    </r>
    <r>
      <rPr>
        <sz val="10"/>
        <rFont val="Arial"/>
        <family val="0"/>
        <charset val="1"/>
      </rPr>
      <t xml:space="preserve">/MAG</t>
    </r>
  </si>
  <si>
    <t xml:space="preserve">strategy</t>
  </si>
  <si>
    <t xml:space="preserve">전략</t>
  </si>
  <si>
    <r>
      <rPr>
        <sz val="10"/>
        <rFont val="Noto Sans CJK SC"/>
        <family val="2"/>
      </rPr>
      <t xml:space="preserve">전략</t>
    </r>
    <r>
      <rPr>
        <sz val="10"/>
        <rFont val="Arial"/>
        <family val="0"/>
        <charset val="1"/>
      </rPr>
      <t xml:space="preserve">/NNG</t>
    </r>
  </si>
  <si>
    <t xml:space="preserve">practice</t>
  </si>
  <si>
    <t xml:space="preserve">관행</t>
  </si>
  <si>
    <r>
      <rPr>
        <sz val="10"/>
        <rFont val="Noto Sans CJK SC"/>
        <family val="2"/>
      </rPr>
      <t xml:space="preserve">관행</t>
    </r>
    <r>
      <rPr>
        <sz val="10"/>
        <rFont val="Arial"/>
        <family val="0"/>
        <charset val="1"/>
      </rPr>
      <t xml:space="preserve">/NNG</t>
    </r>
  </si>
  <si>
    <t xml:space="preserve">실무</t>
  </si>
  <si>
    <r>
      <rPr>
        <sz val="10"/>
        <rFont val="Noto Sans CJK SC"/>
        <family val="2"/>
      </rPr>
      <t xml:space="preserve">실무</t>
    </r>
    <r>
      <rPr>
        <sz val="10"/>
        <rFont val="Arial"/>
        <family val="0"/>
        <charset val="1"/>
      </rPr>
      <t xml:space="preserve">/NNG</t>
    </r>
  </si>
  <si>
    <t xml:space="preserve">regulate</t>
  </si>
  <si>
    <t xml:space="preserve">규제</t>
  </si>
  <si>
    <r>
      <rPr>
        <sz val="10"/>
        <rFont val="Noto Sans CJK SC"/>
        <family val="2"/>
      </rPr>
      <t xml:space="preserve">규제</t>
    </r>
    <r>
      <rPr>
        <sz val="10"/>
        <rFont val="Arial"/>
        <family val="0"/>
        <charset val="1"/>
      </rPr>
      <t xml:space="preserve">/NNG</t>
    </r>
  </si>
  <si>
    <t xml:space="preserve">order</t>
  </si>
  <si>
    <t xml:space="preserve">주문</t>
  </si>
  <si>
    <r>
      <rPr>
        <sz val="10"/>
        <rFont val="Noto Sans CJK SC"/>
        <family val="2"/>
      </rPr>
      <t xml:space="preserve">주문</t>
    </r>
    <r>
      <rPr>
        <sz val="10"/>
        <rFont val="Arial"/>
        <family val="0"/>
        <charset val="1"/>
      </rPr>
      <t xml:space="preserve">/NNG</t>
    </r>
  </si>
  <si>
    <t xml:space="preserve">순서</t>
  </si>
  <si>
    <r>
      <rPr>
        <sz val="10"/>
        <rFont val="Noto Sans CJK SC"/>
        <family val="2"/>
      </rPr>
      <t xml:space="preserve">순서</t>
    </r>
    <r>
      <rPr>
        <sz val="10"/>
        <rFont val="Arial"/>
        <family val="0"/>
        <charset val="1"/>
      </rPr>
      <t xml:space="preserve">/NNG</t>
    </r>
  </si>
  <si>
    <t xml:space="preserve">scheme</t>
  </si>
  <si>
    <t xml:space="preserve">제도</t>
  </si>
  <si>
    <r>
      <rPr>
        <sz val="10"/>
        <rFont val="Noto Sans CJK SC"/>
        <family val="2"/>
      </rPr>
      <t xml:space="preserve">제도</t>
    </r>
    <r>
      <rPr>
        <sz val="10"/>
        <rFont val="Arial"/>
        <family val="0"/>
        <charset val="1"/>
      </rPr>
      <t xml:space="preserve">/NNG</t>
    </r>
  </si>
  <si>
    <t xml:space="preserve">system</t>
  </si>
  <si>
    <t xml:space="preserve">시스템</t>
  </si>
  <si>
    <r>
      <rPr>
        <sz val="10"/>
        <rFont val="Noto Sans CJK SC"/>
        <family val="2"/>
      </rPr>
      <t xml:space="preserve">시스템</t>
    </r>
    <r>
      <rPr>
        <sz val="10"/>
        <rFont val="Arial"/>
        <family val="0"/>
        <charset val="1"/>
      </rPr>
      <t xml:space="preserve">/NNG</t>
    </r>
  </si>
  <si>
    <t xml:space="preserve">체계</t>
  </si>
  <si>
    <r>
      <rPr>
        <sz val="10"/>
        <rFont val="Noto Sans CJK SC"/>
        <family val="2"/>
      </rPr>
      <t xml:space="preserve">체계</t>
    </r>
    <r>
      <rPr>
        <sz val="10"/>
        <rFont val="Arial"/>
        <family val="0"/>
        <charset val="1"/>
      </rPr>
      <t xml:space="preserve">/NNG</t>
    </r>
  </si>
  <si>
    <t xml:space="preserve">straighten-out</t>
  </si>
  <si>
    <t xml:space="preserve">정비</t>
  </si>
  <si>
    <r>
      <rPr>
        <sz val="10"/>
        <rFont val="Noto Sans CJK SC"/>
        <family val="2"/>
      </rPr>
      <t xml:space="preserve">정비</t>
    </r>
    <r>
      <rPr>
        <sz val="10"/>
        <rFont val="Arial"/>
        <family val="0"/>
        <charset val="1"/>
      </rPr>
      <t xml:space="preserve">/NNG</t>
    </r>
  </si>
  <si>
    <t xml:space="preserve">design</t>
  </si>
  <si>
    <t xml:space="preserve">설계</t>
  </si>
  <si>
    <r>
      <rPr>
        <sz val="10"/>
        <rFont val="Noto Sans CJK SC"/>
        <family val="2"/>
      </rPr>
      <t xml:space="preserve">설계</t>
    </r>
    <r>
      <rPr>
        <sz val="10"/>
        <rFont val="Arial"/>
        <family val="0"/>
        <charset val="1"/>
      </rPr>
      <t xml:space="preserve">/NNG</t>
    </r>
  </si>
  <si>
    <t xml:space="preserve">디자인</t>
  </si>
  <si>
    <r>
      <rPr>
        <sz val="10"/>
        <rFont val="Noto Sans CJK SC"/>
        <family val="2"/>
      </rPr>
      <t xml:space="preserve">디자인</t>
    </r>
    <r>
      <rPr>
        <sz val="10"/>
        <rFont val="Arial"/>
        <family val="0"/>
        <charset val="1"/>
      </rPr>
      <t xml:space="preserve">/NNG</t>
    </r>
  </si>
  <si>
    <t xml:space="preserve">lay-out</t>
  </si>
  <si>
    <t xml:space="preserve">배치</t>
  </si>
  <si>
    <r>
      <rPr>
        <sz val="10"/>
        <rFont val="Noto Sans CJK SC"/>
        <family val="2"/>
      </rPr>
      <t xml:space="preserve">배치</t>
    </r>
    <r>
      <rPr>
        <sz val="10"/>
        <rFont val="Arial"/>
        <family val="0"/>
        <charset val="1"/>
      </rPr>
      <t xml:space="preserve">/NNG</t>
    </r>
  </si>
  <si>
    <t xml:space="preserve">discipline</t>
  </si>
  <si>
    <t xml:space="preserve">규율</t>
  </si>
  <si>
    <r>
      <rPr>
        <sz val="10"/>
        <rFont val="Noto Sans CJK SC"/>
        <family val="2"/>
      </rPr>
      <t xml:space="preserve">규율</t>
    </r>
    <r>
      <rPr>
        <sz val="10"/>
        <rFont val="Arial"/>
        <family val="0"/>
        <charset val="1"/>
      </rPr>
      <t xml:space="preserve">/NNG</t>
    </r>
  </si>
  <si>
    <t xml:space="preserve">centralize</t>
  </si>
  <si>
    <t xml:space="preserve">중앙집중</t>
  </si>
  <si>
    <r>
      <rPr>
        <sz val="10"/>
        <rFont val="Noto Sans CJK SC"/>
        <family val="2"/>
      </rPr>
      <t xml:space="preserve">중앙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집중</t>
    </r>
    <r>
      <rPr>
        <sz val="10"/>
        <rFont val="Arial"/>
        <family val="0"/>
        <charset val="1"/>
      </rPr>
      <t xml:space="preserve">/NNG</t>
    </r>
  </si>
  <si>
    <t xml:space="preserve">routine</t>
  </si>
  <si>
    <t xml:space="preserve">루틴</t>
  </si>
  <si>
    <r>
      <rPr>
        <sz val="10"/>
        <rFont val="Noto Sans CJK SC"/>
        <family val="2"/>
      </rPr>
      <t xml:space="preserve">루틴</t>
    </r>
    <r>
      <rPr>
        <sz val="10"/>
        <rFont val="Arial"/>
        <family val="0"/>
        <charset val="1"/>
      </rPr>
      <t xml:space="preserve">/NNG</t>
    </r>
  </si>
  <si>
    <t xml:space="preserve">normalize</t>
  </si>
  <si>
    <t xml:space="preserve">정상화</t>
  </si>
  <si>
    <r>
      <rPr>
        <sz val="10"/>
        <rFont val="Noto Sans CJK SC"/>
        <family val="2"/>
      </rPr>
      <t xml:space="preserve">정상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화</t>
    </r>
    <r>
      <rPr>
        <sz val="10"/>
        <rFont val="Arial"/>
        <family val="0"/>
        <charset val="1"/>
      </rPr>
      <t xml:space="preserve">/XSN</t>
    </r>
  </si>
  <si>
    <r>
      <rPr>
        <sz val="10"/>
        <rFont val="Noto Sans CJK SC"/>
        <family val="2"/>
      </rPr>
      <t xml:space="preserve">정상</t>
    </r>
    <r>
      <rPr>
        <sz val="10"/>
        <rFont val="Arial"/>
        <family val="0"/>
        <charset val="1"/>
      </rPr>
      <t xml:space="preserve">/NNG</t>
    </r>
  </si>
  <si>
    <t xml:space="preserve">program</t>
  </si>
  <si>
    <t xml:space="preserve">프로그램</t>
  </si>
  <si>
    <r>
      <rPr>
        <sz val="10"/>
        <rFont val="Noto Sans CJK SC"/>
        <family val="2"/>
      </rPr>
      <t xml:space="preserve">프로그램</t>
    </r>
    <r>
      <rPr>
        <sz val="10"/>
        <rFont val="Arial"/>
        <family val="0"/>
        <charset val="1"/>
      </rPr>
      <t xml:space="preserve">/NNG</t>
    </r>
  </si>
  <si>
    <t xml:space="preserve">standard</t>
  </si>
  <si>
    <t xml:space="preserve">표준</t>
  </si>
  <si>
    <r>
      <rPr>
        <sz val="10"/>
        <rFont val="Noto Sans CJK SC"/>
        <family val="2"/>
      </rPr>
      <t xml:space="preserve">표준</t>
    </r>
    <r>
      <rPr>
        <sz val="10"/>
        <rFont val="Arial"/>
        <family val="0"/>
        <charset val="1"/>
      </rPr>
      <t xml:space="preserve">/NNG</t>
    </r>
  </si>
  <si>
    <t xml:space="preserve">arrange</t>
  </si>
  <si>
    <t xml:space="preserve">정리</t>
  </si>
  <si>
    <r>
      <rPr>
        <sz val="10"/>
        <rFont val="Noto Sans CJK SC"/>
        <family val="2"/>
      </rPr>
      <t xml:space="preserve">정리</t>
    </r>
    <r>
      <rPr>
        <sz val="10"/>
        <rFont val="Arial"/>
        <family val="0"/>
        <charset val="1"/>
      </rPr>
      <t xml:space="preserve">/NNG</t>
    </r>
  </si>
  <si>
    <t xml:space="preserve">code</t>
  </si>
  <si>
    <t xml:space="preserve">코드</t>
  </si>
  <si>
    <r>
      <rPr>
        <sz val="10"/>
        <rFont val="Noto Sans CJK SC"/>
        <family val="2"/>
      </rPr>
      <t xml:space="preserve">코드</t>
    </r>
    <r>
      <rPr>
        <sz val="10"/>
        <rFont val="Arial"/>
        <family val="0"/>
        <charset val="1"/>
      </rPr>
      <t xml:space="preserve">/NNG</t>
    </r>
  </si>
  <si>
    <t xml:space="preserve">alphabetize</t>
  </si>
  <si>
    <t xml:space="preserve">정렬</t>
  </si>
  <si>
    <r>
      <rPr>
        <sz val="10"/>
        <rFont val="Noto Sans CJK SC"/>
        <family val="2"/>
      </rPr>
      <t xml:space="preserve">정렬</t>
    </r>
    <r>
      <rPr>
        <sz val="10"/>
        <rFont val="Arial"/>
        <family val="0"/>
        <charset val="1"/>
      </rPr>
      <t xml:space="preserve">/NNG</t>
    </r>
  </si>
  <si>
    <t xml:space="preserve">guide</t>
  </si>
  <si>
    <t xml:space="preserve">가이드</t>
  </si>
  <si>
    <r>
      <rPr>
        <sz val="10"/>
        <rFont val="Noto Sans CJK SC"/>
        <family val="2"/>
      </rPr>
      <t xml:space="preserve">가이드</t>
    </r>
    <r>
      <rPr>
        <sz val="10"/>
        <rFont val="Arial"/>
        <family val="0"/>
        <charset val="1"/>
      </rPr>
      <t xml:space="preserve">/NNG</t>
    </r>
  </si>
  <si>
    <t xml:space="preserve">지침</t>
  </si>
  <si>
    <r>
      <rPr>
        <sz val="10"/>
        <rFont val="Noto Sans CJK SC"/>
        <family val="2"/>
      </rPr>
      <t xml:space="preserve">지침</t>
    </r>
    <r>
      <rPr>
        <sz val="10"/>
        <rFont val="Arial"/>
        <family val="0"/>
        <charset val="1"/>
      </rPr>
      <t xml:space="preserve">/NNG</t>
    </r>
  </si>
  <si>
    <t xml:space="preserve">customize</t>
  </si>
  <si>
    <t xml:space="preserve">맞춤</t>
  </si>
  <si>
    <r>
      <rPr>
        <sz val="10"/>
        <rFont val="Noto Sans CJK SC"/>
        <family val="2"/>
      </rPr>
      <t xml:space="preserve">맞춤</t>
    </r>
    <r>
      <rPr>
        <sz val="10"/>
        <rFont val="Arial"/>
        <family val="0"/>
        <charset val="1"/>
      </rPr>
      <t xml:space="preserve">/NNG</t>
    </r>
  </si>
  <si>
    <t xml:space="preserve">pattern</t>
  </si>
  <si>
    <t xml:space="preserve">패턴</t>
  </si>
  <si>
    <r>
      <rPr>
        <sz val="10"/>
        <rFont val="Noto Sans CJK SC"/>
        <family val="2"/>
      </rPr>
      <t xml:space="preserve">패턴</t>
    </r>
    <r>
      <rPr>
        <sz val="10"/>
        <rFont val="Arial"/>
        <family val="0"/>
        <charset val="1"/>
      </rPr>
      <t xml:space="preserve">/NNG</t>
    </r>
  </si>
  <si>
    <t xml:space="preserve">rule</t>
  </si>
  <si>
    <t xml:space="preserve">규칙</t>
  </si>
  <si>
    <r>
      <rPr>
        <sz val="10"/>
        <rFont val="Noto Sans CJK SC"/>
        <family val="2"/>
      </rPr>
      <t xml:space="preserve">규칙</t>
    </r>
    <r>
      <rPr>
        <sz val="10"/>
        <rFont val="Arial"/>
        <family val="0"/>
        <charset val="1"/>
      </rPr>
      <t xml:space="preserve">/NNG</t>
    </r>
  </si>
  <si>
    <t xml:space="preserve">sequence</t>
  </si>
  <si>
    <t xml:space="preserve">distribution</t>
  </si>
  <si>
    <t xml:space="preserve">유통</t>
  </si>
  <si>
    <r>
      <rPr>
        <sz val="10"/>
        <rFont val="Noto Sans CJK SC"/>
        <family val="2"/>
      </rPr>
      <t xml:space="preserve">유통</t>
    </r>
    <r>
      <rPr>
        <sz val="10"/>
        <rFont val="Arial"/>
        <family val="0"/>
        <charset val="1"/>
      </rPr>
      <t xml:space="preserve">/NNG</t>
    </r>
  </si>
  <si>
    <t xml:space="preserve">분포</t>
  </si>
  <si>
    <r>
      <rPr>
        <sz val="10"/>
        <rFont val="Noto Sans CJK SC"/>
        <family val="2"/>
      </rPr>
      <t xml:space="preserve">분포</t>
    </r>
    <r>
      <rPr>
        <sz val="10"/>
        <rFont val="Arial"/>
        <family val="0"/>
        <charset val="1"/>
      </rPr>
      <t xml:space="preserve">/NNG</t>
    </r>
  </si>
  <si>
    <t xml:space="preserve">manoeuvre</t>
  </si>
  <si>
    <t xml:space="preserve">책략</t>
  </si>
  <si>
    <r>
      <rPr>
        <sz val="10"/>
        <rFont val="Noto Sans CJK SC"/>
        <family val="2"/>
      </rPr>
      <t xml:space="preserve">책략</t>
    </r>
    <r>
      <rPr>
        <sz val="10"/>
        <rFont val="Arial"/>
        <family val="0"/>
        <charset val="1"/>
      </rPr>
      <t xml:space="preserve">/NNG</t>
    </r>
  </si>
  <si>
    <t xml:space="preserve">engineering</t>
  </si>
  <si>
    <t xml:space="preserve">공학</t>
  </si>
  <si>
    <r>
      <rPr>
        <sz val="10"/>
        <rFont val="Noto Sans CJK SC"/>
        <family val="2"/>
      </rPr>
      <t xml:space="preserve">공학</t>
    </r>
    <r>
      <rPr>
        <sz val="10"/>
        <rFont val="Arial"/>
        <family val="0"/>
        <charset val="1"/>
      </rPr>
      <t xml:space="preserve">/NNG</t>
    </r>
  </si>
  <si>
    <t xml:space="preserve">엔지니어링</t>
  </si>
  <si>
    <r>
      <rPr>
        <sz val="10"/>
        <rFont val="Noto Sans CJK SC"/>
        <family val="2"/>
      </rPr>
      <t xml:space="preserve">엔지니어링</t>
    </r>
    <r>
      <rPr>
        <sz val="10"/>
        <rFont val="Arial"/>
        <family val="0"/>
        <charset val="1"/>
      </rPr>
      <t xml:space="preserve">/NNG</t>
    </r>
  </si>
  <si>
    <t xml:space="preserve">technique</t>
  </si>
  <si>
    <t xml:space="preserve">기법</t>
  </si>
  <si>
    <r>
      <rPr>
        <sz val="10"/>
        <rFont val="Noto Sans CJK SC"/>
        <family val="2"/>
      </rPr>
      <t xml:space="preserve">기법</t>
    </r>
    <r>
      <rPr>
        <sz val="10"/>
        <rFont val="Arial"/>
        <family val="0"/>
        <charset val="1"/>
      </rPr>
      <t xml:space="preserve">/NNG</t>
    </r>
  </si>
  <si>
    <t xml:space="preserve">certificate</t>
  </si>
  <si>
    <t xml:space="preserve">인증</t>
  </si>
  <si>
    <r>
      <rPr>
        <sz val="10"/>
        <rFont val="Noto Sans CJK SC"/>
        <family val="2"/>
      </rPr>
      <t xml:space="preserve">인증</t>
    </r>
    <r>
      <rPr>
        <sz val="10"/>
        <rFont val="Arial"/>
        <family val="0"/>
        <charset val="1"/>
      </rPr>
      <t xml:space="preserve">/NNG</t>
    </r>
  </si>
  <si>
    <t xml:space="preserve">adjust</t>
  </si>
  <si>
    <t xml:space="preserve">조정</t>
  </si>
  <si>
    <r>
      <rPr>
        <sz val="10"/>
        <rFont val="Noto Sans CJK SC"/>
        <family val="2"/>
      </rPr>
      <t xml:space="preserve">조정</t>
    </r>
    <r>
      <rPr>
        <sz val="10"/>
        <rFont val="Arial"/>
        <family val="0"/>
        <charset val="1"/>
      </rPr>
      <t xml:space="preserve">/NNG</t>
    </r>
  </si>
  <si>
    <t xml:space="preserve">specified</t>
  </si>
  <si>
    <t xml:space="preserve">명시</t>
  </si>
  <si>
    <r>
      <rPr>
        <sz val="10"/>
        <rFont val="Noto Sans CJK SC"/>
        <family val="2"/>
      </rPr>
      <t xml:space="preserve">명시</t>
    </r>
    <r>
      <rPr>
        <sz val="10"/>
        <rFont val="Arial"/>
        <family val="0"/>
        <charset val="1"/>
      </rPr>
      <t xml:space="preserve">/NNG</t>
    </r>
  </si>
  <si>
    <t xml:space="preserve">mandatory</t>
  </si>
  <si>
    <t xml:space="preserve">의무</t>
  </si>
  <si>
    <r>
      <rPr>
        <sz val="10"/>
        <rFont val="Noto Sans CJK SC"/>
        <family val="2"/>
      </rPr>
      <t xml:space="preserve">의무</t>
    </r>
    <r>
      <rPr>
        <sz val="10"/>
        <rFont val="Arial"/>
        <family val="0"/>
        <charset val="1"/>
      </rPr>
      <t xml:space="preserve">/NNG</t>
    </r>
  </si>
  <si>
    <t xml:space="preserve">fix</t>
  </si>
  <si>
    <t xml:space="preserve">고정</t>
  </si>
  <si>
    <r>
      <rPr>
        <sz val="10"/>
        <rFont val="Noto Sans CJK SC"/>
        <family val="2"/>
      </rPr>
      <t xml:space="preserve">고정</t>
    </r>
    <r>
      <rPr>
        <sz val="10"/>
        <rFont val="Arial"/>
        <family val="0"/>
        <charset val="1"/>
      </rPr>
      <t xml:space="preserve">/NNG</t>
    </r>
  </si>
  <si>
    <t xml:space="preserve">correct</t>
  </si>
  <si>
    <t xml:space="preserve">보정</t>
  </si>
  <si>
    <r>
      <rPr>
        <sz val="10"/>
        <rFont val="Noto Sans CJK SC"/>
        <family val="2"/>
      </rPr>
      <t xml:space="preserve">보정</t>
    </r>
    <r>
      <rPr>
        <sz val="10"/>
        <rFont val="Arial"/>
        <family val="0"/>
        <charset val="1"/>
      </rPr>
      <t xml:space="preserve">/NNP</t>
    </r>
  </si>
  <si>
    <t xml:space="preserve">develop</t>
  </si>
  <si>
    <t xml:space="preserve">개발</t>
  </si>
  <si>
    <r>
      <rPr>
        <sz val="10"/>
        <rFont val="Noto Sans CJK SC"/>
        <family val="2"/>
      </rPr>
      <t xml:space="preserve">개발</t>
    </r>
    <r>
      <rPr>
        <sz val="10"/>
        <rFont val="Arial"/>
        <family val="0"/>
        <charset val="1"/>
      </rPr>
      <t xml:space="preserve">/NNG</t>
    </r>
  </si>
  <si>
    <t xml:space="preserve">deal</t>
  </si>
  <si>
    <t xml:space="preserve">trade</t>
  </si>
  <si>
    <t xml:space="preserve">무역</t>
  </si>
  <si>
    <r>
      <rPr>
        <sz val="10"/>
        <rFont val="Noto Sans CJK SC"/>
        <family val="2"/>
      </rPr>
      <t xml:space="preserve">무역</t>
    </r>
    <r>
      <rPr>
        <sz val="10"/>
        <rFont val="Arial"/>
        <family val="0"/>
        <charset val="1"/>
      </rPr>
      <t xml:space="preserve">/NNG</t>
    </r>
  </si>
  <si>
    <t xml:space="preserve">systematic</t>
  </si>
  <si>
    <t xml:space="preserve">체계적</t>
  </si>
  <si>
    <r>
      <rPr>
        <sz val="10"/>
        <rFont val="Noto Sans CJK SC"/>
        <family val="2"/>
      </rPr>
      <t xml:space="preserve">체계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적</t>
    </r>
    <r>
      <rPr>
        <sz val="10"/>
        <rFont val="Arial"/>
        <family val="0"/>
        <charset val="1"/>
      </rPr>
      <t xml:space="preserve">/XSN</t>
    </r>
  </si>
  <si>
    <t xml:space="preserve">reliable</t>
  </si>
  <si>
    <t xml:space="preserve">신뢰성</t>
  </si>
  <si>
    <r>
      <rPr>
        <sz val="10"/>
        <rFont val="Noto Sans CJK SC"/>
        <family val="2"/>
      </rPr>
      <t xml:space="preserve">신뢰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성</t>
    </r>
    <r>
      <rPr>
        <sz val="10"/>
        <rFont val="Arial"/>
        <family val="0"/>
        <charset val="1"/>
      </rPr>
      <t xml:space="preserve">/XSN</t>
    </r>
  </si>
  <si>
    <r>
      <rPr>
        <sz val="10"/>
        <rFont val="Noto Sans CJK SC"/>
        <family val="2"/>
      </rPr>
      <t xml:space="preserve">신뢰</t>
    </r>
    <r>
      <rPr>
        <sz val="10"/>
        <rFont val="Arial"/>
        <family val="0"/>
        <charset val="1"/>
      </rPr>
      <t xml:space="preserve">/NNG</t>
    </r>
  </si>
  <si>
    <r>
      <rPr>
        <sz val="10"/>
        <rFont val="Arial"/>
        <family val="0"/>
        <charset val="1"/>
      </rPr>
      <t xml:space="preserve">logos(reliable)</t>
    </r>
    <r>
      <rPr>
        <sz val="10"/>
        <rFont val="Noto Sans CJK SC"/>
        <family val="2"/>
      </rPr>
      <t xml:space="preserve">인데 </t>
    </r>
    <r>
      <rPr>
        <sz val="10"/>
        <rFont val="Arial"/>
        <family val="0"/>
        <charset val="1"/>
      </rPr>
      <t xml:space="preserve">ethos '</t>
    </r>
    <r>
      <rPr>
        <sz val="10"/>
        <rFont val="Noto Sans CJK SC"/>
        <family val="2"/>
      </rPr>
      <t xml:space="preserve">신뢰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와 어근 겹침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제품 신뢰성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품질지표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문맥 다수</t>
    </r>
  </si>
  <si>
    <t xml:space="preserve">detailed</t>
  </si>
  <si>
    <t xml:space="preserve">상세</t>
  </si>
  <si>
    <r>
      <rPr>
        <sz val="10"/>
        <rFont val="Noto Sans CJK SC"/>
        <family val="2"/>
      </rPr>
      <t xml:space="preserve">상세</t>
    </r>
    <r>
      <rPr>
        <sz val="10"/>
        <rFont val="Arial"/>
        <family val="0"/>
        <charset val="1"/>
      </rPr>
      <t xml:space="preserve">/XR</t>
    </r>
  </si>
  <si>
    <t xml:space="preserve">approach</t>
  </si>
  <si>
    <t xml:space="preserve">접근</t>
  </si>
  <si>
    <r>
      <rPr>
        <sz val="10"/>
        <rFont val="Noto Sans CJK SC"/>
        <family val="2"/>
      </rPr>
      <t xml:space="preserve">접근</t>
    </r>
    <r>
      <rPr>
        <sz val="10"/>
        <rFont val="Arial"/>
        <family val="0"/>
        <charset val="1"/>
      </rPr>
      <t xml:space="preserve">/NNG</t>
    </r>
  </si>
  <si>
    <t xml:space="preserve">tactic</t>
  </si>
  <si>
    <t xml:space="preserve">전술</t>
  </si>
  <si>
    <r>
      <rPr>
        <sz val="10"/>
        <rFont val="Noto Sans CJK SC"/>
        <family val="2"/>
      </rPr>
      <t xml:space="preserve">전술</t>
    </r>
    <r>
      <rPr>
        <sz val="10"/>
        <rFont val="Arial"/>
        <family val="0"/>
        <charset val="1"/>
      </rPr>
      <t xml:space="preserve">/NNG</t>
    </r>
  </si>
  <si>
    <t xml:space="preserve">mode-of-operation</t>
  </si>
  <si>
    <t xml:space="preserve">운영 방식</t>
  </si>
  <si>
    <r>
      <rPr>
        <sz val="10"/>
        <rFont val="Noto Sans CJK SC"/>
        <family val="2"/>
      </rPr>
      <t xml:space="preserve">운영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방식</t>
    </r>
    <r>
      <rPr>
        <sz val="10"/>
        <rFont val="Arial"/>
        <family val="0"/>
        <charset val="1"/>
      </rPr>
      <t xml:space="preserve">/NNG</t>
    </r>
  </si>
  <si>
    <t xml:space="preserve">standard-operating-procedure</t>
  </si>
  <si>
    <t xml:space="preserve">표준운영절차</t>
  </si>
  <si>
    <r>
      <rPr>
        <sz val="10"/>
        <rFont val="Noto Sans CJK SC"/>
        <family val="2"/>
      </rPr>
      <t xml:space="preserve">표준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운영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절차</t>
    </r>
    <r>
      <rPr>
        <sz val="10"/>
        <rFont val="Arial"/>
        <family val="0"/>
        <charset val="1"/>
      </rPr>
      <t xml:space="preserve">/NNG</t>
    </r>
  </si>
  <si>
    <t xml:space="preserve">ability</t>
  </si>
  <si>
    <t xml:space="preserve">능력</t>
  </si>
  <si>
    <r>
      <rPr>
        <sz val="10"/>
        <rFont val="Noto Sans CJK SC"/>
        <family val="2"/>
      </rPr>
      <t xml:space="preserve">능력</t>
    </r>
    <r>
      <rPr>
        <sz val="10"/>
        <rFont val="Arial"/>
        <family val="0"/>
        <charset val="1"/>
      </rPr>
      <t xml:space="preserve">/NNG</t>
    </r>
  </si>
  <si>
    <t xml:space="preserve">capability</t>
  </si>
  <si>
    <t xml:space="preserve">역량</t>
  </si>
  <si>
    <r>
      <rPr>
        <sz val="10"/>
        <rFont val="Noto Sans CJK SC"/>
        <family val="2"/>
      </rPr>
      <t xml:space="preserve">역량</t>
    </r>
    <r>
      <rPr>
        <sz val="10"/>
        <rFont val="Arial"/>
        <family val="0"/>
        <charset val="1"/>
      </rPr>
      <t xml:space="preserve">/NNG</t>
    </r>
  </si>
  <si>
    <t xml:space="preserve">skill</t>
  </si>
  <si>
    <t xml:space="preserve">숙련</t>
  </si>
  <si>
    <r>
      <rPr>
        <sz val="10"/>
        <rFont val="Noto Sans CJK SC"/>
        <family val="2"/>
      </rPr>
      <t xml:space="preserve">숙련</t>
    </r>
    <r>
      <rPr>
        <sz val="10"/>
        <rFont val="Arial"/>
        <family val="0"/>
        <charset val="1"/>
      </rPr>
      <t xml:space="preserve">/NNG</t>
    </r>
  </si>
  <si>
    <r>
      <rPr>
        <sz val="10"/>
        <rFont val="Arial"/>
        <family val="0"/>
        <charset val="1"/>
      </rPr>
      <t xml:space="preserve">logos(skill)·ethos(mastery '</t>
    </r>
    <r>
      <rPr>
        <sz val="10"/>
        <rFont val="Noto Sans CJK SC"/>
        <family val="2"/>
      </rPr>
      <t xml:space="preserve">숙달</t>
    </r>
    <r>
      <rPr>
        <sz val="10"/>
        <rFont val="Arial"/>
        <family val="0"/>
        <charset val="1"/>
      </rPr>
      <t xml:space="preserve">')</t>
    </r>
    <r>
      <rPr>
        <sz val="10"/>
        <rFont val="Noto Sans CJK SC"/>
        <family val="2"/>
      </rPr>
      <t xml:space="preserve">와 의미 근접</t>
    </r>
  </si>
  <si>
    <t xml:space="preserve">스킬</t>
  </si>
  <si>
    <r>
      <rPr>
        <sz val="10"/>
        <rFont val="Noto Sans CJK SC"/>
        <family val="2"/>
      </rPr>
      <t xml:space="preserve">스킬</t>
    </r>
    <r>
      <rPr>
        <sz val="10"/>
        <rFont val="Arial"/>
        <family val="0"/>
        <charset val="1"/>
      </rPr>
      <t xml:space="preserve">/NNG</t>
    </r>
  </si>
  <si>
    <t xml:space="preserve">execution</t>
  </si>
  <si>
    <t xml:space="preserve">실행</t>
  </si>
  <si>
    <r>
      <rPr>
        <sz val="10"/>
        <rFont val="Noto Sans CJK SC"/>
        <family val="2"/>
      </rPr>
      <t xml:space="preserve">실행</t>
    </r>
    <r>
      <rPr>
        <sz val="10"/>
        <rFont val="Arial"/>
        <family val="0"/>
        <charset val="1"/>
      </rPr>
      <t xml:space="preserve">/NNG</t>
    </r>
  </si>
  <si>
    <t xml:space="preserve">proficiency</t>
  </si>
  <si>
    <t xml:space="preserve">숙련도</t>
  </si>
  <si>
    <r>
      <rPr>
        <sz val="10"/>
        <rFont val="Noto Sans CJK SC"/>
        <family val="2"/>
      </rPr>
      <t xml:space="preserve">숙련도</t>
    </r>
    <r>
      <rPr>
        <sz val="10"/>
        <rFont val="Arial"/>
        <family val="0"/>
        <charset val="1"/>
      </rPr>
      <t xml:space="preserve">/NNG</t>
    </r>
  </si>
  <si>
    <t xml:space="preserve">scientific</t>
  </si>
  <si>
    <t xml:space="preserve">과학</t>
  </si>
  <si>
    <r>
      <rPr>
        <sz val="10"/>
        <rFont val="Noto Sans CJK SC"/>
        <family val="2"/>
      </rPr>
      <t xml:space="preserve">과학</t>
    </r>
    <r>
      <rPr>
        <sz val="10"/>
        <rFont val="Arial"/>
        <family val="0"/>
        <charset val="1"/>
      </rPr>
      <t xml:space="preserve">/NNG</t>
    </r>
  </si>
  <si>
    <t xml:space="preserve">advance</t>
  </si>
  <si>
    <t xml:space="preserve">진보</t>
  </si>
  <si>
    <r>
      <rPr>
        <sz val="10"/>
        <rFont val="Noto Sans CJK SC"/>
        <family val="2"/>
      </rPr>
      <t xml:space="preserve">진보</t>
    </r>
    <r>
      <rPr>
        <sz val="10"/>
        <rFont val="Arial"/>
        <family val="0"/>
        <charset val="1"/>
      </rPr>
      <t xml:space="preserve">/NNG</t>
    </r>
  </si>
  <si>
    <t xml:space="preserve">고도화</t>
  </si>
  <si>
    <r>
      <rPr>
        <sz val="10"/>
        <rFont val="Noto Sans CJK SC"/>
        <family val="2"/>
      </rPr>
      <t xml:space="preserve">고도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화</t>
    </r>
    <r>
      <rPr>
        <sz val="10"/>
        <rFont val="Arial"/>
        <family val="0"/>
        <charset val="1"/>
      </rPr>
      <t xml:space="preserve">/XSN</t>
    </r>
  </si>
  <si>
    <r>
      <rPr>
        <sz val="10"/>
        <rFont val="Noto Sans CJK SC"/>
        <family val="2"/>
      </rPr>
      <t xml:space="preserve">고도</t>
    </r>
    <r>
      <rPr>
        <sz val="10"/>
        <rFont val="Arial"/>
        <family val="0"/>
        <charset val="1"/>
      </rPr>
      <t xml:space="preserve">/NNG</t>
    </r>
  </si>
  <si>
    <r>
      <rPr>
        <sz val="10"/>
        <rFont val="Arial"/>
        <family val="0"/>
        <charset val="1"/>
      </rPr>
      <t xml:space="preserve">advance. </t>
    </r>
    <r>
      <rPr>
        <sz val="10"/>
        <rFont val="Noto Sans CJK SC"/>
        <family val="2"/>
      </rPr>
      <t xml:space="preserve">한국 사업계획서 특유 빈출어 → </t>
    </r>
    <r>
      <rPr>
        <sz val="10"/>
        <rFont val="Arial"/>
        <family val="0"/>
        <charset val="1"/>
      </rPr>
      <t xml:space="preserve">logos</t>
    </r>
  </si>
  <si>
    <t xml:space="preserve">claim</t>
  </si>
  <si>
    <t xml:space="preserve">청구</t>
  </si>
  <si>
    <r>
      <rPr>
        <sz val="10"/>
        <rFont val="Noto Sans CJK SC"/>
        <family val="2"/>
      </rPr>
      <t xml:space="preserve">청구</t>
    </r>
    <r>
      <rPr>
        <sz val="10"/>
        <rFont val="Arial"/>
        <family val="0"/>
        <charset val="1"/>
      </rPr>
      <t xml:space="preserve">/NNG</t>
    </r>
  </si>
  <si>
    <t xml:space="preserve">주장</t>
  </si>
  <si>
    <r>
      <rPr>
        <sz val="10"/>
        <rFont val="Noto Sans CJK SC"/>
        <family val="2"/>
      </rPr>
      <t xml:space="preserve">주장</t>
    </r>
    <r>
      <rPr>
        <sz val="10"/>
        <rFont val="Arial"/>
        <family val="0"/>
        <charset val="1"/>
      </rPr>
      <t xml:space="preserve">/NNG</t>
    </r>
  </si>
  <si>
    <t xml:space="preserve">report</t>
  </si>
  <si>
    <t xml:space="preserve">보고</t>
  </si>
  <si>
    <r>
      <rPr>
        <sz val="10"/>
        <rFont val="Noto Sans CJK SC"/>
        <family val="2"/>
      </rPr>
      <t xml:space="preserve">보고</t>
    </r>
    <r>
      <rPr>
        <sz val="10"/>
        <rFont val="Arial"/>
        <family val="0"/>
        <charset val="1"/>
      </rPr>
      <t xml:space="preserve">/NNG</t>
    </r>
  </si>
  <si>
    <t xml:space="preserve">information</t>
  </si>
  <si>
    <t xml:space="preserve">정보</t>
  </si>
  <si>
    <r>
      <rPr>
        <sz val="10"/>
        <rFont val="Noto Sans CJK SC"/>
        <family val="2"/>
      </rPr>
      <t xml:space="preserve">정보</t>
    </r>
    <r>
      <rPr>
        <sz val="10"/>
        <rFont val="Arial"/>
        <family val="0"/>
        <charset val="1"/>
      </rPr>
      <t xml:space="preserve">/NNG</t>
    </r>
  </si>
  <si>
    <t xml:space="preserve">variable</t>
  </si>
  <si>
    <t xml:space="preserve">변수</t>
  </si>
  <si>
    <r>
      <rPr>
        <sz val="10"/>
        <rFont val="Noto Sans CJK SC"/>
        <family val="2"/>
      </rPr>
      <t xml:space="preserve">변수</t>
    </r>
    <r>
      <rPr>
        <sz val="10"/>
        <rFont val="Arial"/>
        <family val="0"/>
        <charset val="1"/>
      </rPr>
      <t xml:space="preserve">/NNG</t>
    </r>
  </si>
  <si>
    <t xml:space="preserve">prove</t>
  </si>
  <si>
    <t xml:space="preserve">입증</t>
  </si>
  <si>
    <r>
      <rPr>
        <sz val="10"/>
        <rFont val="Noto Sans CJK SC"/>
        <family val="2"/>
      </rPr>
      <t xml:space="preserve">입증</t>
    </r>
    <r>
      <rPr>
        <sz val="10"/>
        <rFont val="Arial"/>
        <family val="0"/>
        <charset val="1"/>
      </rPr>
      <t xml:space="preserve">/NNG</t>
    </r>
  </si>
  <si>
    <t xml:space="preserve">measure</t>
  </si>
  <si>
    <t xml:space="preserve">측정</t>
  </si>
  <si>
    <r>
      <rPr>
        <sz val="10"/>
        <rFont val="Noto Sans CJK SC"/>
        <family val="2"/>
      </rPr>
      <t xml:space="preserve">측정</t>
    </r>
    <r>
      <rPr>
        <sz val="10"/>
        <rFont val="Arial"/>
        <family val="0"/>
        <charset val="1"/>
      </rPr>
      <t xml:space="preserve">/NNG</t>
    </r>
  </si>
  <si>
    <t xml:space="preserve">demographic</t>
  </si>
  <si>
    <t xml:space="preserve">인구통계</t>
  </si>
  <si>
    <r>
      <rPr>
        <sz val="10"/>
        <rFont val="Noto Sans CJK SC"/>
        <family val="2"/>
      </rPr>
      <t xml:space="preserve">인구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통계</t>
    </r>
    <r>
      <rPr>
        <sz val="10"/>
        <rFont val="Arial"/>
        <family val="0"/>
        <charset val="1"/>
      </rPr>
      <t xml:space="preserve">/NNG</t>
    </r>
  </si>
  <si>
    <t xml:space="preserve">probable</t>
  </si>
  <si>
    <t xml:space="preserve">개연성</t>
  </si>
  <si>
    <r>
      <rPr>
        <sz val="10"/>
        <rFont val="Noto Sans CJK SC"/>
        <family val="2"/>
      </rPr>
      <t xml:space="preserve">개연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성</t>
    </r>
    <r>
      <rPr>
        <sz val="10"/>
        <rFont val="Arial"/>
        <family val="0"/>
        <charset val="1"/>
      </rPr>
      <t xml:space="preserve">/XSN</t>
    </r>
  </si>
  <si>
    <r>
      <rPr>
        <sz val="10"/>
        <rFont val="Noto Sans CJK SC"/>
        <family val="2"/>
      </rPr>
      <t xml:space="preserve">개연</t>
    </r>
    <r>
      <rPr>
        <sz val="10"/>
        <rFont val="Arial"/>
        <family val="0"/>
        <charset val="1"/>
      </rPr>
      <t xml:space="preserve">/NNG</t>
    </r>
  </si>
  <si>
    <t xml:space="preserve">classify</t>
  </si>
  <si>
    <t xml:space="preserve">분류</t>
  </si>
  <si>
    <r>
      <rPr>
        <sz val="10"/>
        <rFont val="Noto Sans CJK SC"/>
        <family val="2"/>
      </rPr>
      <t xml:space="preserve">분류</t>
    </r>
    <r>
      <rPr>
        <sz val="10"/>
        <rFont val="Arial"/>
        <family val="0"/>
        <charset val="1"/>
      </rPr>
      <t xml:space="preserve">/NNG</t>
    </r>
  </si>
  <si>
    <t xml:space="preserve">reclassify</t>
  </si>
  <si>
    <t xml:space="preserve">재분류</t>
  </si>
  <si>
    <r>
      <rPr>
        <sz val="10"/>
        <rFont val="Noto Sans CJK SC"/>
        <family val="2"/>
      </rPr>
      <t xml:space="preserve">재</t>
    </r>
    <r>
      <rPr>
        <sz val="10"/>
        <rFont val="Arial"/>
        <family val="0"/>
        <charset val="1"/>
      </rPr>
      <t xml:space="preserve">/XPN + </t>
    </r>
    <r>
      <rPr>
        <sz val="10"/>
        <rFont val="Noto Sans CJK SC"/>
        <family val="2"/>
      </rPr>
      <t xml:space="preserve">분류</t>
    </r>
    <r>
      <rPr>
        <sz val="10"/>
        <rFont val="Arial"/>
        <family val="0"/>
        <charset val="1"/>
      </rPr>
      <t xml:space="preserve">/NNG</t>
    </r>
  </si>
  <si>
    <t xml:space="preserve">test</t>
  </si>
  <si>
    <t xml:space="preserve">시험</t>
  </si>
  <si>
    <r>
      <rPr>
        <sz val="10"/>
        <rFont val="Noto Sans CJK SC"/>
        <family val="2"/>
      </rPr>
      <t xml:space="preserve">시험</t>
    </r>
    <r>
      <rPr>
        <sz val="10"/>
        <rFont val="Arial"/>
        <family val="0"/>
        <charset val="1"/>
      </rPr>
      <t xml:space="preserve">/NNG</t>
    </r>
  </si>
  <si>
    <t xml:space="preserve">테스트</t>
  </si>
  <si>
    <r>
      <rPr>
        <sz val="10"/>
        <rFont val="Noto Sans CJK SC"/>
        <family val="2"/>
      </rPr>
      <t xml:space="preserve">테스트</t>
    </r>
    <r>
      <rPr>
        <sz val="10"/>
        <rFont val="Arial"/>
        <family val="0"/>
        <charset val="1"/>
      </rPr>
      <t xml:space="preserve">/NNG</t>
    </r>
  </si>
  <si>
    <t xml:space="preserve">observe</t>
  </si>
  <si>
    <t xml:space="preserve">관찰</t>
  </si>
  <si>
    <r>
      <rPr>
        <sz val="10"/>
        <rFont val="Noto Sans CJK SC"/>
        <family val="2"/>
      </rPr>
      <t xml:space="preserve">관찰</t>
    </r>
    <r>
      <rPr>
        <sz val="10"/>
        <rFont val="Arial"/>
        <family val="0"/>
        <charset val="1"/>
      </rPr>
      <t xml:space="preserve">/NNG</t>
    </r>
  </si>
  <si>
    <t xml:space="preserve">variance</t>
  </si>
  <si>
    <t xml:space="preserve">분산</t>
  </si>
  <si>
    <r>
      <rPr>
        <sz val="10"/>
        <rFont val="Noto Sans CJK SC"/>
        <family val="2"/>
      </rPr>
      <t xml:space="preserve">분산</t>
    </r>
    <r>
      <rPr>
        <sz val="10"/>
        <rFont val="Arial"/>
        <family val="0"/>
        <charset val="1"/>
      </rPr>
      <t xml:space="preserve">/NNG</t>
    </r>
  </si>
  <si>
    <t xml:space="preserve">interest</t>
  </si>
  <si>
    <t xml:space="preserve">이자</t>
  </si>
  <si>
    <r>
      <rPr>
        <sz val="10"/>
        <rFont val="Noto Sans CJK SC"/>
        <family val="2"/>
      </rPr>
      <t xml:space="preserve">이자</t>
    </r>
    <r>
      <rPr>
        <sz val="10"/>
        <rFont val="Arial"/>
        <family val="0"/>
        <charset val="1"/>
      </rPr>
      <t xml:space="preserve">/NNG</t>
    </r>
  </si>
  <si>
    <r>
      <rPr>
        <sz val="10"/>
        <rFont val="Arial"/>
        <family val="0"/>
        <charset val="1"/>
      </rPr>
      <t xml:space="preserve">interest</t>
    </r>
    <r>
      <rPr>
        <sz val="10"/>
        <rFont val="Noto Sans CJK SC"/>
        <family val="2"/>
      </rPr>
      <t xml:space="preserve">의 금융 의미</t>
    </r>
  </si>
  <si>
    <t xml:space="preserve">관심</t>
  </si>
  <si>
    <r>
      <rPr>
        <sz val="10"/>
        <rFont val="Noto Sans CJK SC"/>
        <family val="2"/>
      </rPr>
      <t xml:space="preserve">관심</t>
    </r>
    <r>
      <rPr>
        <sz val="10"/>
        <rFont val="Arial"/>
        <family val="0"/>
        <charset val="1"/>
      </rPr>
      <t xml:space="preserve">/NNG</t>
    </r>
  </si>
  <si>
    <r>
      <rPr>
        <sz val="10"/>
        <rFont val="Arial"/>
        <family val="0"/>
        <charset val="1"/>
      </rPr>
      <t xml:space="preserve">interest(logos/scientific) </t>
    </r>
    <r>
      <rPr>
        <sz val="10"/>
        <rFont val="Noto Sans CJK SC"/>
        <family val="2"/>
      </rPr>
      <t xml:space="preserve">번역 중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관심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은 오히려 정서적 →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이자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만 유지 고려</t>
    </r>
  </si>
  <si>
    <t xml:space="preserve">learn</t>
  </si>
  <si>
    <t xml:space="preserve">학습</t>
  </si>
  <si>
    <r>
      <rPr>
        <sz val="10"/>
        <rFont val="Noto Sans CJK SC"/>
        <family val="2"/>
      </rPr>
      <t xml:space="preserve">학습</t>
    </r>
    <r>
      <rPr>
        <sz val="10"/>
        <rFont val="Arial"/>
        <family val="0"/>
        <charset val="1"/>
      </rPr>
      <t xml:space="preserve">/NNG</t>
    </r>
  </si>
  <si>
    <t xml:space="preserve">predict</t>
  </si>
  <si>
    <t xml:space="preserve">예측</t>
  </si>
  <si>
    <r>
      <rPr>
        <sz val="10"/>
        <rFont val="Noto Sans CJK SC"/>
        <family val="2"/>
      </rPr>
      <t xml:space="preserve">예측</t>
    </r>
    <r>
      <rPr>
        <sz val="10"/>
        <rFont val="Arial"/>
        <family val="0"/>
        <charset val="1"/>
      </rPr>
      <t xml:space="preserve">/NNG</t>
    </r>
  </si>
  <si>
    <t xml:space="preserve">compute</t>
  </si>
  <si>
    <t xml:space="preserve">연산</t>
  </si>
  <si>
    <r>
      <rPr>
        <sz val="10"/>
        <rFont val="Noto Sans CJK SC"/>
        <family val="2"/>
      </rPr>
      <t xml:space="preserve">연산</t>
    </r>
    <r>
      <rPr>
        <sz val="10"/>
        <rFont val="Arial"/>
        <family val="0"/>
        <charset val="1"/>
      </rPr>
      <t xml:space="preserve">/NNG</t>
    </r>
  </si>
  <si>
    <t xml:space="preserve">controlled</t>
  </si>
  <si>
    <t xml:space="preserve">통제</t>
  </si>
  <si>
    <r>
      <rPr>
        <sz val="10"/>
        <rFont val="Noto Sans CJK SC"/>
        <family val="2"/>
      </rPr>
      <t xml:space="preserve">통제</t>
    </r>
    <r>
      <rPr>
        <sz val="10"/>
        <rFont val="Arial"/>
        <family val="0"/>
        <charset val="1"/>
      </rPr>
      <t xml:space="preserve">/NNG</t>
    </r>
  </si>
  <si>
    <t xml:space="preserve">fact</t>
  </si>
  <si>
    <t xml:space="preserve">사실</t>
  </si>
  <si>
    <r>
      <rPr>
        <sz val="10"/>
        <rFont val="Noto Sans CJK SC"/>
        <family val="2"/>
      </rPr>
      <t xml:space="preserve">사실</t>
    </r>
    <r>
      <rPr>
        <sz val="10"/>
        <rFont val="Arial"/>
        <family val="0"/>
        <charset val="1"/>
      </rPr>
      <t xml:space="preserve">/NNG</t>
    </r>
  </si>
  <si>
    <t xml:space="preserve">versed</t>
  </si>
  <si>
    <t xml:space="preserve">정통</t>
  </si>
  <si>
    <r>
      <rPr>
        <sz val="10"/>
        <rFont val="Noto Sans CJK SC"/>
        <family val="2"/>
      </rPr>
      <t xml:space="preserve">정통</t>
    </r>
    <r>
      <rPr>
        <sz val="10"/>
        <rFont val="Arial"/>
        <family val="0"/>
        <charset val="1"/>
      </rPr>
      <t xml:space="preserve">/NNG</t>
    </r>
  </si>
  <si>
    <t xml:space="preserve">thorough</t>
  </si>
  <si>
    <t xml:space="preserve">철저</t>
  </si>
  <si>
    <r>
      <rPr>
        <sz val="10"/>
        <rFont val="Noto Sans CJK SC"/>
        <family val="2"/>
      </rPr>
      <t xml:space="preserve">철저</t>
    </r>
    <r>
      <rPr>
        <sz val="10"/>
        <rFont val="Arial"/>
        <family val="0"/>
        <charset val="1"/>
      </rPr>
      <t xml:space="preserve">/NNG</t>
    </r>
  </si>
  <si>
    <t xml:space="preserve">laws</t>
  </si>
  <si>
    <t xml:space="preserve">법칙</t>
  </si>
  <si>
    <r>
      <rPr>
        <sz val="10"/>
        <rFont val="Noto Sans CJK SC"/>
        <family val="2"/>
      </rPr>
      <t xml:space="preserve">법칙</t>
    </r>
    <r>
      <rPr>
        <sz val="10"/>
        <rFont val="Arial"/>
        <family val="0"/>
        <charset val="1"/>
      </rPr>
      <t xml:space="preserve">/NNG</t>
    </r>
  </si>
  <si>
    <t xml:space="preserve">informed</t>
  </si>
  <si>
    <t xml:space="preserve">정보에 근거</t>
  </si>
  <si>
    <r>
      <rPr>
        <sz val="10"/>
        <rFont val="Noto Sans CJK SC"/>
        <family val="2"/>
      </rPr>
      <t xml:space="preserve">정보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에</t>
    </r>
    <r>
      <rPr>
        <sz val="10"/>
        <rFont val="Arial"/>
        <family val="0"/>
        <charset val="1"/>
      </rPr>
      <t xml:space="preserve">/JKB + </t>
    </r>
    <r>
      <rPr>
        <sz val="10"/>
        <rFont val="Noto Sans CJK SC"/>
        <family val="2"/>
      </rPr>
      <t xml:space="preserve">근거</t>
    </r>
    <r>
      <rPr>
        <sz val="10"/>
        <rFont val="Arial"/>
        <family val="0"/>
        <charset val="1"/>
      </rPr>
      <t xml:space="preserve">/NNG</t>
    </r>
  </si>
  <si>
    <r>
      <rPr>
        <sz val="10"/>
        <rFont val="Noto Sans CJK SC"/>
        <family val="2"/>
      </rPr>
      <t xml:space="preserve">정보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근거</t>
    </r>
    <r>
      <rPr>
        <sz val="10"/>
        <rFont val="Arial"/>
        <family val="0"/>
        <charset val="1"/>
      </rPr>
      <t xml:space="preserve">/NNG</t>
    </r>
  </si>
  <si>
    <t xml:space="preserve">calculate</t>
  </si>
  <si>
    <t xml:space="preserve">산출</t>
  </si>
  <si>
    <r>
      <rPr>
        <sz val="10"/>
        <rFont val="Noto Sans CJK SC"/>
        <family val="2"/>
      </rPr>
      <t xml:space="preserve">산출</t>
    </r>
    <r>
      <rPr>
        <sz val="10"/>
        <rFont val="Arial"/>
        <family val="0"/>
        <charset val="1"/>
      </rPr>
      <t xml:space="preserve">/NNG</t>
    </r>
  </si>
  <si>
    <t xml:space="preserve">reality</t>
  </si>
  <si>
    <t xml:space="preserve">현실</t>
  </si>
  <si>
    <r>
      <rPr>
        <sz val="10"/>
        <rFont val="Noto Sans CJK SC"/>
        <family val="2"/>
      </rPr>
      <t xml:space="preserve">현실</t>
    </r>
    <r>
      <rPr>
        <sz val="10"/>
        <rFont val="Arial"/>
        <family val="0"/>
        <charset val="1"/>
      </rPr>
      <t xml:space="preserve">/NNG</t>
    </r>
  </si>
  <si>
    <t xml:space="preserve">precise</t>
  </si>
  <si>
    <t xml:space="preserve">정밀</t>
  </si>
  <si>
    <r>
      <rPr>
        <sz val="10"/>
        <rFont val="Noto Sans CJK SC"/>
        <family val="2"/>
      </rPr>
      <t xml:space="preserve">정밀</t>
    </r>
    <r>
      <rPr>
        <sz val="10"/>
        <rFont val="Arial"/>
        <family val="0"/>
        <charset val="1"/>
      </rPr>
      <t xml:space="preserve">/NNG</t>
    </r>
  </si>
  <si>
    <t xml:space="preserve">mathematic</t>
  </si>
  <si>
    <t xml:space="preserve">수학</t>
  </si>
  <si>
    <r>
      <rPr>
        <sz val="10"/>
        <rFont val="Noto Sans CJK SC"/>
        <family val="2"/>
      </rPr>
      <t xml:space="preserve">수학</t>
    </r>
    <r>
      <rPr>
        <sz val="10"/>
        <rFont val="Arial"/>
        <family val="0"/>
        <charset val="1"/>
      </rPr>
      <t xml:space="preserve">/NNG</t>
    </r>
  </si>
  <si>
    <t xml:space="preserve">know</t>
  </si>
  <si>
    <t xml:space="preserve">지식</t>
  </si>
  <si>
    <r>
      <rPr>
        <sz val="10"/>
        <rFont val="Noto Sans CJK SC"/>
        <family val="2"/>
      </rPr>
      <t xml:space="preserve">지식</t>
    </r>
    <r>
      <rPr>
        <sz val="10"/>
        <rFont val="Arial"/>
        <family val="0"/>
        <charset val="1"/>
      </rPr>
      <t xml:space="preserve">/NNG</t>
    </r>
  </si>
  <si>
    <t xml:space="preserve">specialization</t>
  </si>
  <si>
    <t xml:space="preserve">전문화</t>
  </si>
  <si>
    <r>
      <rPr>
        <sz val="10"/>
        <rFont val="Noto Sans CJK SC"/>
        <family val="2"/>
      </rPr>
      <t xml:space="preserve">전문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화</t>
    </r>
    <r>
      <rPr>
        <sz val="10"/>
        <rFont val="Arial"/>
        <family val="0"/>
        <charset val="1"/>
      </rPr>
      <t xml:space="preserve">/XSN</t>
    </r>
  </si>
  <si>
    <r>
      <rPr>
        <sz val="10"/>
        <rFont val="Noto Sans CJK SC"/>
        <family val="2"/>
      </rPr>
      <t xml:space="preserve">전문</t>
    </r>
    <r>
      <rPr>
        <sz val="10"/>
        <rFont val="Arial"/>
        <family val="0"/>
        <charset val="1"/>
      </rPr>
      <t xml:space="preserve">/NNG</t>
    </r>
  </si>
  <si>
    <t xml:space="preserve">empirical</t>
  </si>
  <si>
    <t xml:space="preserve">실증</t>
  </si>
  <si>
    <r>
      <rPr>
        <sz val="10"/>
        <rFont val="Noto Sans CJK SC"/>
        <family val="2"/>
      </rPr>
      <t xml:space="preserve">실증</t>
    </r>
    <r>
      <rPr>
        <sz val="10"/>
        <rFont val="Arial"/>
        <family val="0"/>
        <charset val="1"/>
      </rPr>
      <t xml:space="preserve">/NNG</t>
    </r>
  </si>
  <si>
    <t xml:space="preserve">technology</t>
  </si>
  <si>
    <t xml:space="preserve">기술</t>
  </si>
  <si>
    <r>
      <rPr>
        <sz val="10"/>
        <rFont val="Noto Sans CJK SC"/>
        <family val="2"/>
      </rPr>
      <t xml:space="preserve">기술</t>
    </r>
    <r>
      <rPr>
        <sz val="10"/>
        <rFont val="Arial"/>
        <family val="0"/>
        <charset val="1"/>
      </rPr>
      <t xml:space="preserve">/NNG</t>
    </r>
  </si>
  <si>
    <r>
      <rPr>
        <sz val="10"/>
        <rFont val="Arial"/>
        <family val="0"/>
        <charset val="1"/>
      </rPr>
      <t xml:space="preserve">technology. DIPS </t>
    </r>
    <r>
      <rPr>
        <sz val="10"/>
        <rFont val="Noto Sans CJK SC"/>
        <family val="2"/>
      </rPr>
      <t xml:space="preserve">사업계획서 최빈어 중 하나 → 비율 왜곡 가능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별도 통제 고려</t>
    </r>
  </si>
  <si>
    <t xml:space="preserve">philosophy</t>
  </si>
  <si>
    <t xml:space="preserve">철학</t>
  </si>
  <si>
    <r>
      <rPr>
        <sz val="10"/>
        <rFont val="Noto Sans CJK SC"/>
        <family val="2"/>
      </rPr>
      <t xml:space="preserve">철학</t>
    </r>
    <r>
      <rPr>
        <sz val="10"/>
        <rFont val="Arial"/>
        <family val="0"/>
        <charset val="1"/>
      </rPr>
      <t xml:space="preserve">/NNG</t>
    </r>
  </si>
  <si>
    <t xml:space="preserve">research</t>
  </si>
  <si>
    <t xml:space="preserve">연구</t>
  </si>
  <si>
    <r>
      <rPr>
        <sz val="10"/>
        <rFont val="Noto Sans CJK SC"/>
        <family val="2"/>
      </rPr>
      <t xml:space="preserve">연구</t>
    </r>
    <r>
      <rPr>
        <sz val="10"/>
        <rFont val="Arial"/>
        <family val="0"/>
        <charset val="1"/>
      </rPr>
      <t xml:space="preserve">/NNG</t>
    </r>
  </si>
  <si>
    <t xml:space="preserve">verifiable</t>
  </si>
  <si>
    <t xml:space="preserve">검증</t>
  </si>
  <si>
    <r>
      <rPr>
        <sz val="10"/>
        <rFont val="Noto Sans CJK SC"/>
        <family val="2"/>
      </rPr>
      <t xml:space="preserve">검증</t>
    </r>
    <r>
      <rPr>
        <sz val="10"/>
        <rFont val="Arial"/>
        <family val="0"/>
        <charset val="1"/>
      </rPr>
      <t xml:space="preserve">/NNG</t>
    </r>
  </si>
  <si>
    <t xml:space="preserve">experiment</t>
  </si>
  <si>
    <t xml:space="preserve">실험</t>
  </si>
  <si>
    <r>
      <rPr>
        <sz val="10"/>
        <rFont val="Noto Sans CJK SC"/>
        <family val="2"/>
      </rPr>
      <t xml:space="preserve">실험</t>
    </r>
    <r>
      <rPr>
        <sz val="10"/>
        <rFont val="Arial"/>
        <family val="0"/>
        <charset val="1"/>
      </rPr>
      <t xml:space="preserve">/NNG</t>
    </r>
  </si>
  <si>
    <t xml:space="preserve">quantitative</t>
  </si>
  <si>
    <t xml:space="preserve">정량</t>
  </si>
  <si>
    <r>
      <rPr>
        <sz val="10"/>
        <rFont val="Noto Sans CJK SC"/>
        <family val="2"/>
      </rPr>
      <t xml:space="preserve">정량</t>
    </r>
    <r>
      <rPr>
        <sz val="10"/>
        <rFont val="Arial"/>
        <family val="0"/>
        <charset val="1"/>
      </rPr>
      <t xml:space="preserve">/NNG</t>
    </r>
  </si>
  <si>
    <t xml:space="preserve">trial-and-error</t>
  </si>
  <si>
    <t xml:space="preserve">시행착오</t>
  </si>
  <si>
    <r>
      <rPr>
        <sz val="10"/>
        <rFont val="Noto Sans CJK SC"/>
        <family val="2"/>
      </rPr>
      <t xml:space="preserve">시행착오</t>
    </r>
    <r>
      <rPr>
        <sz val="10"/>
        <rFont val="Arial"/>
        <family val="0"/>
        <charset val="1"/>
      </rPr>
      <t xml:space="preserve">/NNG</t>
    </r>
  </si>
  <si>
    <t xml:space="preserve">investigation</t>
  </si>
  <si>
    <t xml:space="preserve">조사</t>
  </si>
  <si>
    <r>
      <rPr>
        <sz val="10"/>
        <rFont val="Noto Sans CJK SC"/>
        <family val="2"/>
      </rPr>
      <t xml:space="preserve">조사</t>
    </r>
    <r>
      <rPr>
        <sz val="10"/>
        <rFont val="Arial"/>
        <family val="0"/>
        <charset val="1"/>
      </rPr>
      <t xml:space="preserve">/NNG</t>
    </r>
  </si>
  <si>
    <t xml:space="preserve">expert</t>
  </si>
  <si>
    <t xml:space="preserve">전문가</t>
  </si>
  <si>
    <r>
      <rPr>
        <sz val="10"/>
        <rFont val="Noto Sans CJK SC"/>
        <family val="2"/>
      </rPr>
      <t xml:space="preserve">전문가</t>
    </r>
    <r>
      <rPr>
        <sz val="10"/>
        <rFont val="Arial"/>
        <family val="0"/>
        <charset val="1"/>
      </rPr>
      <t xml:space="preserve">/NNG</t>
    </r>
  </si>
  <si>
    <t xml:space="preserve">application</t>
  </si>
  <si>
    <t xml:space="preserve">적용</t>
  </si>
  <si>
    <r>
      <rPr>
        <sz val="10"/>
        <rFont val="Noto Sans CJK SC"/>
        <family val="2"/>
      </rPr>
      <t xml:space="preserve">적용</t>
    </r>
    <r>
      <rPr>
        <sz val="10"/>
        <rFont val="Arial"/>
        <family val="0"/>
        <charset val="1"/>
      </rPr>
      <t xml:space="preserve">/NNG</t>
    </r>
  </si>
  <si>
    <t xml:space="preserve">응용</t>
  </si>
  <si>
    <r>
      <rPr>
        <sz val="10"/>
        <rFont val="Noto Sans CJK SC"/>
        <family val="2"/>
      </rPr>
      <t xml:space="preserve">응용</t>
    </r>
    <r>
      <rPr>
        <sz val="10"/>
        <rFont val="Arial"/>
        <family val="0"/>
        <charset val="1"/>
      </rPr>
      <t xml:space="preserve">/NNG</t>
    </r>
  </si>
  <si>
    <t xml:space="preserve">objective</t>
  </si>
  <si>
    <t xml:space="preserve">객관</t>
  </si>
  <si>
    <r>
      <rPr>
        <sz val="10"/>
        <rFont val="Noto Sans CJK SC"/>
        <family val="2"/>
      </rPr>
      <t xml:space="preserve">객관</t>
    </r>
    <r>
      <rPr>
        <sz val="10"/>
        <rFont val="Arial"/>
        <family val="0"/>
        <charset val="1"/>
      </rPr>
      <t xml:space="preserve">/NNG</t>
    </r>
  </si>
  <si>
    <t xml:space="preserve">목표</t>
  </si>
  <si>
    <r>
      <rPr>
        <sz val="10"/>
        <rFont val="Noto Sans CJK SC"/>
        <family val="2"/>
      </rPr>
      <t xml:space="preserve">목표</t>
    </r>
    <r>
      <rPr>
        <sz val="10"/>
        <rFont val="Arial"/>
        <family val="0"/>
        <charset val="1"/>
      </rPr>
      <t xml:space="preserve">/NNG</t>
    </r>
  </si>
  <si>
    <r>
      <rPr>
        <sz val="10"/>
        <rFont val="Arial"/>
        <family val="0"/>
        <charset val="1"/>
      </rPr>
      <t xml:space="preserve">objective </t>
    </r>
    <r>
      <rPr>
        <sz val="10"/>
        <rFont val="Noto Sans CJK SC"/>
        <family val="2"/>
      </rPr>
      <t xml:space="preserve">번역</t>
    </r>
    <r>
      <rPr>
        <sz val="10"/>
        <rFont val="Arial"/>
        <family val="0"/>
        <charset val="1"/>
      </rPr>
      <t xml:space="preserve">. '</t>
    </r>
    <r>
      <rPr>
        <sz val="10"/>
        <rFont val="Noto Sans CJK SC"/>
        <family val="2"/>
      </rPr>
      <t xml:space="preserve">목표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logos</t>
    </r>
    <r>
      <rPr>
        <sz val="10"/>
        <rFont val="Noto Sans CJK SC"/>
        <family val="2"/>
      </rPr>
      <t xml:space="preserve">로 무난하나 원어 의도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객관성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와 다름</t>
    </r>
  </si>
  <si>
    <t xml:space="preserve">rigour</t>
  </si>
  <si>
    <t xml:space="preserve">엄밀</t>
  </si>
  <si>
    <r>
      <rPr>
        <sz val="10"/>
        <rFont val="Noto Sans CJK SC"/>
        <family val="2"/>
      </rPr>
      <t xml:space="preserve">엄밀</t>
    </r>
    <r>
      <rPr>
        <sz val="10"/>
        <rFont val="Arial"/>
        <family val="0"/>
        <charset val="1"/>
      </rPr>
      <t xml:space="preserve">/XR</t>
    </r>
  </si>
  <si>
    <t xml:space="preserve">theorist</t>
  </si>
  <si>
    <t xml:space="preserve">이론가</t>
  </si>
  <si>
    <r>
      <rPr>
        <sz val="10"/>
        <rFont val="Noto Sans CJK SC"/>
        <family val="2"/>
      </rPr>
      <t xml:space="preserve">이론가</t>
    </r>
    <r>
      <rPr>
        <sz val="10"/>
        <rFont val="Arial"/>
        <family val="0"/>
        <charset val="1"/>
      </rPr>
      <t xml:space="preserve">/NNG</t>
    </r>
  </si>
  <si>
    <t xml:space="preserve">sophistication</t>
  </si>
  <si>
    <t xml:space="preserve">정교</t>
  </si>
  <si>
    <r>
      <rPr>
        <sz val="10"/>
        <rFont val="Noto Sans CJK SC"/>
        <family val="2"/>
      </rPr>
      <t xml:space="preserve">정교</t>
    </r>
    <r>
      <rPr>
        <sz val="10"/>
        <rFont val="Arial"/>
        <family val="0"/>
        <charset val="1"/>
      </rPr>
      <t xml:space="preserve">/NNG</t>
    </r>
  </si>
  <si>
    <t xml:space="preserve">analyse</t>
  </si>
  <si>
    <t xml:space="preserve">evaluate</t>
  </si>
  <si>
    <t xml:space="preserve">평가</t>
  </si>
  <si>
    <r>
      <rPr>
        <sz val="10"/>
        <rFont val="Noto Sans CJK SC"/>
        <family val="2"/>
      </rPr>
      <t xml:space="preserve">평가</t>
    </r>
    <r>
      <rPr>
        <sz val="10"/>
        <rFont val="Arial"/>
        <family val="0"/>
        <charset val="1"/>
      </rPr>
      <t xml:space="preserve">/NNG</t>
    </r>
  </si>
  <si>
    <t xml:space="preserve">data</t>
  </si>
  <si>
    <t xml:space="preserve">데이터</t>
  </si>
  <si>
    <r>
      <rPr>
        <sz val="10"/>
        <rFont val="Noto Sans CJK SC"/>
        <family val="2"/>
      </rPr>
      <t xml:space="preserve">데이터</t>
    </r>
    <r>
      <rPr>
        <sz val="10"/>
        <rFont val="Arial"/>
        <family val="0"/>
        <charset val="1"/>
      </rPr>
      <t xml:space="preserve">/NNG</t>
    </r>
  </si>
  <si>
    <t xml:space="preserve">technical</t>
  </si>
  <si>
    <t xml:space="preserve">기술적</t>
  </si>
  <si>
    <r>
      <rPr>
        <sz val="10"/>
        <rFont val="Noto Sans CJK SC"/>
        <family val="2"/>
      </rPr>
      <t xml:space="preserve">기술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적</t>
    </r>
    <r>
      <rPr>
        <sz val="10"/>
        <rFont val="Arial"/>
        <family val="0"/>
        <charset val="1"/>
      </rPr>
      <t xml:space="preserve">/XSN</t>
    </r>
  </si>
  <si>
    <t xml:space="preserve">educate</t>
  </si>
  <si>
    <t xml:space="preserve">교육</t>
  </si>
  <si>
    <r>
      <rPr>
        <sz val="10"/>
        <rFont val="Noto Sans CJK SC"/>
        <family val="2"/>
      </rPr>
      <t xml:space="preserve">교육</t>
    </r>
    <r>
      <rPr>
        <sz val="10"/>
        <rFont val="Arial"/>
        <family val="0"/>
        <charset val="1"/>
      </rPr>
      <t xml:space="preserve">/NNG</t>
    </r>
  </si>
  <si>
    <t xml:space="preserve">scholarly</t>
  </si>
  <si>
    <t xml:space="preserve">학술</t>
  </si>
  <si>
    <r>
      <rPr>
        <sz val="10"/>
        <rFont val="Noto Sans CJK SC"/>
        <family val="2"/>
      </rPr>
      <t xml:space="preserve">학술</t>
    </r>
    <r>
      <rPr>
        <sz val="10"/>
        <rFont val="Arial"/>
        <family val="0"/>
        <charset val="1"/>
      </rPr>
      <t xml:space="preserve">/NNG</t>
    </r>
  </si>
  <si>
    <t xml:space="preserve">well-schooled</t>
  </si>
  <si>
    <t xml:space="preserve">소양</t>
  </si>
  <si>
    <r>
      <rPr>
        <sz val="10"/>
        <rFont val="Noto Sans CJK SC"/>
        <family val="2"/>
      </rPr>
      <t xml:space="preserve">소양</t>
    </r>
    <r>
      <rPr>
        <sz val="10"/>
        <rFont val="Arial"/>
        <family val="0"/>
        <charset val="1"/>
      </rPr>
      <t xml:space="preserve">/NNG</t>
    </r>
  </si>
  <si>
    <t xml:space="preserve">academic</t>
  </si>
  <si>
    <t xml:space="preserve">학계</t>
  </si>
  <si>
    <r>
      <rPr>
        <sz val="10"/>
        <rFont val="Noto Sans CJK SC"/>
        <family val="2"/>
      </rPr>
      <t xml:space="preserve">학계</t>
    </r>
    <r>
      <rPr>
        <sz val="10"/>
        <rFont val="Arial"/>
        <family val="0"/>
        <charset val="1"/>
      </rPr>
      <t xml:space="preserve">/NNG</t>
    </r>
  </si>
  <si>
    <t xml:space="preserve">accurate</t>
  </si>
  <si>
    <r>
      <rPr>
        <sz val="10"/>
        <rFont val="Arial"/>
        <family val="0"/>
        <charset val="1"/>
      </rPr>
      <t xml:space="preserve">Pathos(</t>
    </r>
    <r>
      <rPr>
        <sz val="10"/>
        <rFont val="Noto Sans CJK SC"/>
        <family val="2"/>
      </rPr>
      <t xml:space="preserve">감정</t>
    </r>
    <r>
      <rPr>
        <sz val="10"/>
        <rFont val="Arial"/>
        <family val="0"/>
        <charset val="1"/>
      </rPr>
      <t xml:space="preserve">)</t>
    </r>
  </si>
  <si>
    <t xml:space="preserve">emotion</t>
  </si>
  <si>
    <t xml:space="preserve">감정</t>
  </si>
  <si>
    <r>
      <rPr>
        <sz val="10"/>
        <rFont val="Noto Sans CJK SC"/>
        <family val="2"/>
      </rPr>
      <t xml:space="preserve">감정</t>
    </r>
    <r>
      <rPr>
        <sz val="10"/>
        <rFont val="Arial"/>
        <family val="0"/>
        <charset val="1"/>
      </rPr>
      <t xml:space="preserve">/NNG</t>
    </r>
  </si>
  <si>
    <t xml:space="preserve">electrify</t>
  </si>
  <si>
    <t xml:space="preserve">전율</t>
  </si>
  <si>
    <r>
      <rPr>
        <sz val="10"/>
        <rFont val="Noto Sans CJK SC"/>
        <family val="2"/>
      </rPr>
      <t xml:space="preserve">전율</t>
    </r>
    <r>
      <rPr>
        <sz val="10"/>
        <rFont val="Arial"/>
        <family val="0"/>
        <charset val="1"/>
      </rPr>
      <t xml:space="preserve">/NNG</t>
    </r>
  </si>
  <si>
    <t xml:space="preserve">energetic</t>
  </si>
  <si>
    <t xml:space="preserve">활기</t>
  </si>
  <si>
    <r>
      <rPr>
        <sz val="10"/>
        <rFont val="Noto Sans CJK SC"/>
        <family val="2"/>
      </rPr>
      <t xml:space="preserve">활기</t>
    </r>
    <r>
      <rPr>
        <sz val="10"/>
        <rFont val="Arial"/>
        <family val="0"/>
        <charset val="1"/>
      </rPr>
      <t xml:space="preserve">/NNG</t>
    </r>
  </si>
  <si>
    <t xml:space="preserve">enthusiastic</t>
  </si>
  <si>
    <t xml:space="preserve">열성</t>
  </si>
  <si>
    <r>
      <rPr>
        <sz val="10"/>
        <rFont val="Noto Sans CJK SC"/>
        <family val="2"/>
      </rPr>
      <t xml:space="preserve">열성</t>
    </r>
    <r>
      <rPr>
        <sz val="10"/>
        <rFont val="Arial"/>
        <family val="0"/>
        <charset val="1"/>
      </rPr>
      <t xml:space="preserve">/NNG</t>
    </r>
  </si>
  <si>
    <t xml:space="preserve">excite</t>
  </si>
  <si>
    <t xml:space="preserve">흥분</t>
  </si>
  <si>
    <r>
      <rPr>
        <sz val="10"/>
        <rFont val="Noto Sans CJK SC"/>
        <family val="2"/>
      </rPr>
      <t xml:space="preserve">흥분</t>
    </r>
    <r>
      <rPr>
        <sz val="10"/>
        <rFont val="Arial"/>
        <family val="0"/>
        <charset val="1"/>
      </rPr>
      <t xml:space="preserve">/NNG</t>
    </r>
  </si>
  <si>
    <t xml:space="preserve">설렘</t>
  </si>
  <si>
    <r>
      <rPr>
        <sz val="10"/>
        <rFont val="Noto Sans CJK SC"/>
        <family val="2"/>
      </rPr>
      <t xml:space="preserve">설레</t>
    </r>
    <r>
      <rPr>
        <sz val="10"/>
        <rFont val="Arial"/>
        <family val="0"/>
        <charset val="1"/>
      </rPr>
      <t xml:space="preserve">/VV + </t>
    </r>
    <r>
      <rPr>
        <sz val="10"/>
        <rFont val="Noto Sans CJK SC"/>
        <family val="2"/>
      </rPr>
      <t xml:space="preserve">ᆷ</t>
    </r>
    <r>
      <rPr>
        <sz val="10"/>
        <rFont val="Arial"/>
        <family val="0"/>
        <charset val="1"/>
      </rPr>
      <t xml:space="preserve">/ETN</t>
    </r>
  </si>
  <si>
    <r>
      <rPr>
        <sz val="10"/>
        <rFont val="Noto Sans CJK SC"/>
        <family val="2"/>
      </rPr>
      <t xml:space="preserve">설레</t>
    </r>
    <r>
      <rPr>
        <sz val="10"/>
        <rFont val="Arial"/>
        <family val="0"/>
        <charset val="1"/>
      </rPr>
      <t xml:space="preserve">/VV</t>
    </r>
  </si>
  <si>
    <t xml:space="preserve">분석 확인 필요</t>
  </si>
  <si>
    <t xml:space="preserve">fiery</t>
  </si>
  <si>
    <t xml:space="preserve">열렬</t>
  </si>
  <si>
    <r>
      <rPr>
        <sz val="10"/>
        <rFont val="Noto Sans CJK SC"/>
        <family val="2"/>
      </rPr>
      <t xml:space="preserve">열렬</t>
    </r>
    <r>
      <rPr>
        <sz val="10"/>
        <rFont val="Arial"/>
        <family val="0"/>
        <charset val="1"/>
      </rPr>
      <t xml:space="preserve">/XR</t>
    </r>
  </si>
  <si>
    <t xml:space="preserve">gung-ho</t>
  </si>
  <si>
    <t xml:space="preserve">의욕</t>
  </si>
  <si>
    <r>
      <rPr>
        <sz val="10"/>
        <rFont val="Noto Sans CJK SC"/>
        <family val="2"/>
      </rPr>
      <t xml:space="preserve">의욕</t>
    </r>
    <r>
      <rPr>
        <sz val="10"/>
        <rFont val="Arial"/>
        <family val="0"/>
        <charset val="1"/>
      </rPr>
      <t xml:space="preserve">/NNG</t>
    </r>
  </si>
  <si>
    <t xml:space="preserve">passion</t>
  </si>
  <si>
    <t xml:space="preserve">열정</t>
  </si>
  <si>
    <r>
      <rPr>
        <sz val="10"/>
        <rFont val="Noto Sans CJK SC"/>
        <family val="2"/>
      </rPr>
      <t xml:space="preserve">열정</t>
    </r>
    <r>
      <rPr>
        <sz val="10"/>
        <rFont val="Arial"/>
        <family val="0"/>
        <charset val="1"/>
      </rPr>
      <t xml:space="preserve">/NNG</t>
    </r>
  </si>
  <si>
    <t xml:space="preserve">impassion</t>
  </si>
  <si>
    <t xml:space="preserve">provocative</t>
  </si>
  <si>
    <t xml:space="preserve">도발</t>
  </si>
  <si>
    <r>
      <rPr>
        <sz val="10"/>
        <rFont val="Noto Sans CJK SC"/>
        <family val="2"/>
      </rPr>
      <t xml:space="preserve">도발</t>
    </r>
    <r>
      <rPr>
        <sz val="10"/>
        <rFont val="Arial"/>
        <family val="0"/>
        <charset val="1"/>
      </rPr>
      <t xml:space="preserve">/NNG</t>
    </r>
  </si>
  <si>
    <t xml:space="preserve">lively</t>
  </si>
  <si>
    <t xml:space="preserve">생동감</t>
  </si>
  <si>
    <r>
      <rPr>
        <sz val="10"/>
        <rFont val="Noto Sans CJK SC"/>
        <family val="2"/>
      </rPr>
      <t xml:space="preserve">생동감</t>
    </r>
    <r>
      <rPr>
        <sz val="10"/>
        <rFont val="Arial"/>
        <family val="0"/>
        <charset val="1"/>
      </rPr>
      <t xml:space="preserve">/NNG</t>
    </r>
  </si>
  <si>
    <t xml:space="preserve">rouse</t>
  </si>
  <si>
    <t xml:space="preserve">고무</t>
  </si>
  <si>
    <r>
      <rPr>
        <sz val="10"/>
        <rFont val="Noto Sans CJK SC"/>
        <family val="2"/>
      </rPr>
      <t xml:space="preserve">고무</t>
    </r>
    <r>
      <rPr>
        <sz val="10"/>
        <rFont val="Arial"/>
        <family val="0"/>
        <charset val="1"/>
      </rPr>
      <t xml:space="preserve">/NNG</t>
    </r>
  </si>
  <si>
    <t xml:space="preserve">spirited</t>
  </si>
  <si>
    <t xml:space="preserve">패기</t>
  </si>
  <si>
    <r>
      <rPr>
        <sz val="10"/>
        <rFont val="Noto Sans CJK SC"/>
        <family val="2"/>
      </rPr>
      <t xml:space="preserve">패기</t>
    </r>
    <r>
      <rPr>
        <sz val="10"/>
        <rFont val="Arial"/>
        <family val="0"/>
        <charset val="1"/>
      </rPr>
      <t xml:space="preserve">/NNG</t>
    </r>
  </si>
  <si>
    <t xml:space="preserve">stirring</t>
  </si>
  <si>
    <t xml:space="preserve">감동적</t>
  </si>
  <si>
    <r>
      <rPr>
        <sz val="10"/>
        <rFont val="Noto Sans CJK SC"/>
        <family val="2"/>
      </rPr>
      <t xml:space="preserve">감동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적</t>
    </r>
    <r>
      <rPr>
        <sz val="10"/>
        <rFont val="Arial"/>
        <family val="0"/>
        <charset val="1"/>
      </rPr>
      <t xml:space="preserve">/XSN</t>
    </r>
  </si>
  <si>
    <r>
      <rPr>
        <sz val="10"/>
        <rFont val="Noto Sans CJK SC"/>
        <family val="2"/>
      </rPr>
      <t xml:space="preserve">감동</t>
    </r>
    <r>
      <rPr>
        <sz val="10"/>
        <rFont val="Arial"/>
        <family val="0"/>
        <charset val="1"/>
      </rPr>
      <t xml:space="preserve">/NNG</t>
    </r>
  </si>
  <si>
    <t xml:space="preserve">vehement</t>
  </si>
  <si>
    <t xml:space="preserve">격렬</t>
  </si>
  <si>
    <r>
      <rPr>
        <sz val="10"/>
        <rFont val="Noto Sans CJK SC"/>
        <family val="2"/>
      </rPr>
      <t xml:space="preserve">격렬</t>
    </r>
    <r>
      <rPr>
        <sz val="10"/>
        <rFont val="Arial"/>
        <family val="0"/>
        <charset val="1"/>
      </rPr>
      <t xml:space="preserve">/XR</t>
    </r>
  </si>
  <si>
    <t xml:space="preserve">vigour</t>
  </si>
  <si>
    <t xml:space="preserve">활력</t>
  </si>
  <si>
    <r>
      <rPr>
        <sz val="10"/>
        <rFont val="Noto Sans CJK SC"/>
        <family val="2"/>
      </rPr>
      <t xml:space="preserve">활력</t>
    </r>
    <r>
      <rPr>
        <sz val="10"/>
        <rFont val="Arial"/>
        <family val="0"/>
        <charset val="1"/>
      </rPr>
      <t xml:space="preserve">/NNG</t>
    </r>
  </si>
  <si>
    <t xml:space="preserve">invigorate</t>
  </si>
  <si>
    <t xml:space="preserve">활성화</t>
  </si>
  <si>
    <r>
      <rPr>
        <sz val="10"/>
        <rFont val="Noto Sans CJK SC"/>
        <family val="2"/>
      </rPr>
      <t xml:space="preserve">활성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화</t>
    </r>
    <r>
      <rPr>
        <sz val="10"/>
        <rFont val="Arial"/>
        <family val="0"/>
        <charset val="1"/>
      </rPr>
      <t xml:space="preserve">/XSN</t>
    </r>
  </si>
  <si>
    <r>
      <rPr>
        <sz val="10"/>
        <rFont val="Noto Sans CJK SC"/>
        <family val="2"/>
      </rPr>
      <t xml:space="preserve">활성</t>
    </r>
    <r>
      <rPr>
        <sz val="10"/>
        <rFont val="Arial"/>
        <family val="0"/>
        <charset val="1"/>
      </rPr>
      <t xml:space="preserve">/NNG</t>
    </r>
  </si>
  <si>
    <r>
      <rPr>
        <sz val="10"/>
        <rFont val="Arial"/>
        <family val="0"/>
        <charset val="1"/>
      </rPr>
      <t xml:space="preserve">invigorate. '</t>
    </r>
    <r>
      <rPr>
        <sz val="10"/>
        <rFont val="Noto Sans CJK SC"/>
        <family val="2"/>
      </rPr>
      <t xml:space="preserve">시장 활성화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처럼 정책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경제 용어로 쓰임</t>
    </r>
  </si>
  <si>
    <t xml:space="preserve">reinvigorate</t>
  </si>
  <si>
    <t xml:space="preserve">재도약</t>
  </si>
  <si>
    <r>
      <rPr>
        <sz val="10"/>
        <rFont val="Noto Sans CJK SC"/>
        <family val="2"/>
      </rPr>
      <t xml:space="preserve">재</t>
    </r>
    <r>
      <rPr>
        <sz val="10"/>
        <rFont val="Arial"/>
        <family val="0"/>
        <charset val="1"/>
      </rPr>
      <t xml:space="preserve">/XPN + </t>
    </r>
    <r>
      <rPr>
        <sz val="10"/>
        <rFont val="Noto Sans CJK SC"/>
        <family val="2"/>
      </rPr>
      <t xml:space="preserve">도약</t>
    </r>
    <r>
      <rPr>
        <sz val="10"/>
        <rFont val="Arial"/>
        <family val="0"/>
        <charset val="1"/>
      </rPr>
      <t xml:space="preserve">/NNG</t>
    </r>
  </si>
  <si>
    <t xml:space="preserve">vivid</t>
  </si>
  <si>
    <t xml:space="preserve">생생</t>
  </si>
  <si>
    <r>
      <rPr>
        <sz val="10"/>
        <rFont val="Noto Sans CJK SC"/>
        <family val="2"/>
      </rPr>
      <t xml:space="preserve">생생</t>
    </r>
    <r>
      <rPr>
        <sz val="10"/>
        <rFont val="Arial"/>
        <family val="0"/>
        <charset val="1"/>
      </rPr>
      <t xml:space="preserve">/XR</t>
    </r>
  </si>
  <si>
    <t xml:space="preserve">intense</t>
  </si>
  <si>
    <t xml:space="preserve">강렬</t>
  </si>
  <si>
    <r>
      <rPr>
        <sz val="10"/>
        <rFont val="Noto Sans CJK SC"/>
        <family val="2"/>
      </rPr>
      <t xml:space="preserve">강렬</t>
    </r>
    <r>
      <rPr>
        <sz val="10"/>
        <rFont val="Arial"/>
        <family val="0"/>
        <charset val="1"/>
      </rPr>
      <t xml:space="preserve">/XR</t>
    </r>
  </si>
  <si>
    <t xml:space="preserve">eager</t>
  </si>
  <si>
    <t xml:space="preserve">간절</t>
  </si>
  <si>
    <r>
      <rPr>
        <sz val="10"/>
        <rFont val="Noto Sans CJK SC"/>
        <family val="2"/>
      </rPr>
      <t xml:space="preserve">간절</t>
    </r>
    <r>
      <rPr>
        <sz val="10"/>
        <rFont val="Arial"/>
        <family val="0"/>
        <charset val="1"/>
      </rPr>
      <t xml:space="preserve">/XR</t>
    </r>
  </si>
  <si>
    <t xml:space="preserve">psyched</t>
  </si>
  <si>
    <t xml:space="preserve">들뜨다</t>
  </si>
  <si>
    <r>
      <rPr>
        <sz val="10"/>
        <rFont val="Noto Sans CJK SC"/>
        <family val="2"/>
      </rPr>
      <t xml:space="preserve">들뜨</t>
    </r>
    <r>
      <rPr>
        <sz val="10"/>
        <rFont val="Arial"/>
        <family val="0"/>
        <charset val="1"/>
      </rPr>
      <t xml:space="preserve">/VV + 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/EF</t>
    </r>
  </si>
  <si>
    <r>
      <rPr>
        <sz val="10"/>
        <rFont val="Noto Sans CJK SC"/>
        <family val="2"/>
      </rPr>
      <t xml:space="preserve">들뜨</t>
    </r>
    <r>
      <rPr>
        <sz val="10"/>
        <rFont val="Arial"/>
        <family val="0"/>
        <charset val="1"/>
      </rPr>
      <t xml:space="preserve">/VV</t>
    </r>
  </si>
  <si>
    <t xml:space="preserve">exuberance</t>
  </si>
  <si>
    <t xml:space="preserve">넘치는 열의</t>
  </si>
  <si>
    <r>
      <rPr>
        <sz val="10"/>
        <rFont val="Noto Sans CJK SC"/>
        <family val="2"/>
      </rPr>
      <t xml:space="preserve">넘치</t>
    </r>
    <r>
      <rPr>
        <sz val="10"/>
        <rFont val="Arial"/>
        <family val="0"/>
        <charset val="1"/>
      </rPr>
      <t xml:space="preserve">/VV + </t>
    </r>
    <r>
      <rPr>
        <sz val="10"/>
        <rFont val="Noto Sans CJK SC"/>
        <family val="2"/>
      </rPr>
      <t xml:space="preserve">는</t>
    </r>
    <r>
      <rPr>
        <sz val="10"/>
        <rFont val="Arial"/>
        <family val="0"/>
        <charset val="1"/>
      </rPr>
      <t xml:space="preserve">/ETM + </t>
    </r>
    <r>
      <rPr>
        <sz val="10"/>
        <rFont val="Noto Sans CJK SC"/>
        <family val="2"/>
      </rPr>
      <t xml:space="preserve">열의</t>
    </r>
    <r>
      <rPr>
        <sz val="10"/>
        <rFont val="Arial"/>
        <family val="0"/>
        <charset val="1"/>
      </rPr>
      <t xml:space="preserve">/NNG</t>
    </r>
  </si>
  <si>
    <r>
      <rPr>
        <sz val="10"/>
        <rFont val="Noto Sans CJK SC"/>
        <family val="2"/>
      </rPr>
      <t xml:space="preserve">넘치</t>
    </r>
    <r>
      <rPr>
        <sz val="10"/>
        <rFont val="Arial"/>
        <family val="0"/>
        <charset val="1"/>
      </rPr>
      <t xml:space="preserve">/VV + </t>
    </r>
    <r>
      <rPr>
        <sz val="10"/>
        <rFont val="Noto Sans CJK SC"/>
        <family val="2"/>
      </rPr>
      <t xml:space="preserve">열의</t>
    </r>
    <r>
      <rPr>
        <sz val="10"/>
        <rFont val="Arial"/>
        <family val="0"/>
        <charset val="1"/>
      </rPr>
      <t xml:space="preserve">/NNG</t>
    </r>
  </si>
  <si>
    <t xml:space="preserve">feel</t>
  </si>
  <si>
    <t xml:space="preserve">느끼다</t>
  </si>
  <si>
    <r>
      <rPr>
        <sz val="10"/>
        <rFont val="Noto Sans CJK SC"/>
        <family val="2"/>
      </rPr>
      <t xml:space="preserve">느끼</t>
    </r>
    <r>
      <rPr>
        <sz val="10"/>
        <rFont val="Arial"/>
        <family val="0"/>
        <charset val="1"/>
      </rPr>
      <t xml:space="preserve">/VV + 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/EF</t>
    </r>
  </si>
  <si>
    <r>
      <rPr>
        <sz val="10"/>
        <rFont val="Noto Sans CJK SC"/>
        <family val="2"/>
      </rPr>
      <t xml:space="preserve">느끼</t>
    </r>
    <r>
      <rPr>
        <sz val="10"/>
        <rFont val="Arial"/>
        <family val="0"/>
        <charset val="1"/>
      </rPr>
      <t xml:space="preserve">/VV</t>
    </r>
  </si>
  <si>
    <t xml:space="preserve">volatile</t>
  </si>
  <si>
    <t xml:space="preserve">변동성</t>
  </si>
  <si>
    <r>
      <rPr>
        <sz val="10"/>
        <rFont val="Noto Sans CJK SC"/>
        <family val="2"/>
      </rPr>
      <t xml:space="preserve">변동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성</t>
    </r>
    <r>
      <rPr>
        <sz val="10"/>
        <rFont val="Arial"/>
        <family val="0"/>
        <charset val="1"/>
      </rPr>
      <t xml:space="preserve">/XSN</t>
    </r>
  </si>
  <si>
    <r>
      <rPr>
        <sz val="10"/>
        <rFont val="Noto Sans CJK SC"/>
        <family val="2"/>
      </rPr>
      <t xml:space="preserve">변동</t>
    </r>
    <r>
      <rPr>
        <sz val="10"/>
        <rFont val="Arial"/>
        <family val="0"/>
        <charset val="1"/>
      </rPr>
      <t xml:space="preserve">/NNG</t>
    </r>
  </si>
  <si>
    <r>
      <rPr>
        <sz val="10"/>
        <rFont val="Arial"/>
        <family val="0"/>
        <charset val="1"/>
      </rPr>
      <t xml:space="preserve">volatile(pathos) </t>
    </r>
    <r>
      <rPr>
        <sz val="10"/>
        <rFont val="Noto Sans CJK SC"/>
        <family val="2"/>
      </rPr>
      <t xml:space="preserve">번역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금융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시장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변동성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은 </t>
    </r>
    <r>
      <rPr>
        <sz val="10"/>
        <rFont val="Arial"/>
        <family val="0"/>
        <charset val="1"/>
      </rPr>
      <t xml:space="preserve">logos </t>
    </r>
    <r>
      <rPr>
        <sz val="10"/>
        <rFont val="Noto Sans CJK SC"/>
        <family val="2"/>
      </rPr>
      <t xml:space="preserve">문맥 → 제외 또는 </t>
    </r>
    <r>
      <rPr>
        <sz val="10"/>
        <rFont val="Arial"/>
        <family val="0"/>
        <charset val="1"/>
      </rPr>
      <t xml:space="preserve">KWIC</t>
    </r>
  </si>
  <si>
    <t xml:space="preserve">avid</t>
  </si>
  <si>
    <t xml:space="preserve">sentiment</t>
  </si>
  <si>
    <t xml:space="preserve">정서</t>
  </si>
  <si>
    <r>
      <rPr>
        <sz val="10"/>
        <rFont val="Noto Sans CJK SC"/>
        <family val="2"/>
      </rPr>
      <t xml:space="preserve">정서</t>
    </r>
    <r>
      <rPr>
        <sz val="10"/>
        <rFont val="Arial"/>
        <family val="0"/>
        <charset val="1"/>
      </rPr>
      <t xml:space="preserve">/NNG</t>
    </r>
  </si>
  <si>
    <t xml:space="preserve">심리</t>
  </si>
  <si>
    <r>
      <rPr>
        <sz val="10"/>
        <rFont val="Noto Sans CJK SC"/>
        <family val="2"/>
      </rPr>
      <t xml:space="preserve">심리</t>
    </r>
    <r>
      <rPr>
        <sz val="10"/>
        <rFont val="Arial"/>
        <family val="0"/>
        <charset val="1"/>
      </rPr>
      <t xml:space="preserve">/NNG</t>
    </r>
  </si>
  <si>
    <t xml:space="preserve">zest</t>
  </si>
  <si>
    <t xml:space="preserve">열의</t>
  </si>
  <si>
    <r>
      <rPr>
        <sz val="10"/>
        <rFont val="Noto Sans CJK SC"/>
        <family val="2"/>
      </rPr>
      <t xml:space="preserve">열의</t>
    </r>
    <r>
      <rPr>
        <sz val="10"/>
        <rFont val="Arial"/>
        <family val="0"/>
        <charset val="1"/>
      </rPr>
      <t xml:space="preserve">/NNG</t>
    </r>
  </si>
  <si>
    <t xml:space="preserve">obsess</t>
  </si>
  <si>
    <t xml:space="preserve">집착</t>
  </si>
  <si>
    <r>
      <rPr>
        <sz val="10"/>
        <rFont val="Noto Sans CJK SC"/>
        <family val="2"/>
      </rPr>
      <t xml:space="preserve">집착</t>
    </r>
    <r>
      <rPr>
        <sz val="10"/>
        <rFont val="Arial"/>
        <family val="0"/>
        <charset val="1"/>
      </rPr>
      <t xml:space="preserve">/NNG</t>
    </r>
  </si>
  <si>
    <t xml:space="preserve">sensation</t>
  </si>
  <si>
    <t xml:space="preserve">센세이션</t>
  </si>
  <si>
    <r>
      <rPr>
        <sz val="10"/>
        <rFont val="Noto Sans CJK SC"/>
        <family val="2"/>
      </rPr>
      <t xml:space="preserve">센세이션</t>
    </r>
    <r>
      <rPr>
        <sz val="10"/>
        <rFont val="Arial"/>
        <family val="0"/>
        <charset val="1"/>
      </rPr>
      <t xml:space="preserve">/NNG</t>
    </r>
  </si>
  <si>
    <t xml:space="preserve">돌풍</t>
  </si>
  <si>
    <r>
      <rPr>
        <sz val="10"/>
        <rFont val="Noto Sans CJK SC"/>
        <family val="2"/>
      </rPr>
      <t xml:space="preserve">돌풍</t>
    </r>
    <r>
      <rPr>
        <sz val="10"/>
        <rFont val="Arial"/>
        <family val="0"/>
        <charset val="1"/>
      </rPr>
      <t xml:space="preserve">/NNG</t>
    </r>
  </si>
  <si>
    <t xml:space="preserve">inspire</t>
  </si>
  <si>
    <t xml:space="preserve">영감</t>
  </si>
  <si>
    <r>
      <rPr>
        <sz val="10"/>
        <rFont val="Noto Sans CJK SC"/>
        <family val="2"/>
      </rPr>
      <t xml:space="preserve">영감</t>
    </r>
    <r>
      <rPr>
        <sz val="10"/>
        <rFont val="Arial"/>
        <family val="0"/>
        <charset val="1"/>
      </rPr>
      <t xml:space="preserve">/NNG</t>
    </r>
  </si>
  <si>
    <t xml:space="preserve">suffer</t>
  </si>
  <si>
    <t xml:space="preserve">고통</t>
  </si>
  <si>
    <r>
      <rPr>
        <sz val="10"/>
        <rFont val="Noto Sans CJK SC"/>
        <family val="2"/>
      </rPr>
      <t xml:space="preserve">고통</t>
    </r>
    <r>
      <rPr>
        <sz val="10"/>
        <rFont val="Arial"/>
        <family val="0"/>
        <charset val="1"/>
      </rPr>
      <t xml:space="preserve">/NNG</t>
    </r>
  </si>
  <si>
    <t xml:space="preserve">affect</t>
  </si>
  <si>
    <t xml:space="preserve">영향</t>
  </si>
  <si>
    <r>
      <rPr>
        <sz val="10"/>
        <rFont val="Noto Sans CJK SC"/>
        <family val="2"/>
      </rPr>
      <t xml:space="preserve">영향</t>
    </r>
    <r>
      <rPr>
        <sz val="10"/>
        <rFont val="Arial"/>
        <family val="0"/>
        <charset val="1"/>
      </rPr>
      <t xml:space="preserve">/NNG</t>
    </r>
  </si>
  <si>
    <r>
      <rPr>
        <sz val="10"/>
        <rFont val="Arial"/>
        <family val="0"/>
        <charset val="1"/>
      </rPr>
      <t xml:space="preserve">affect(pathos) </t>
    </r>
    <r>
      <rPr>
        <sz val="10"/>
        <rFont val="Noto Sans CJK SC"/>
        <family val="2"/>
      </rPr>
      <t xml:space="preserve">번역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한국어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영향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은 중립적 인과어 → </t>
    </r>
    <r>
      <rPr>
        <sz val="10"/>
        <rFont val="Arial"/>
        <family val="0"/>
        <charset val="1"/>
      </rPr>
      <t xml:space="preserve">pathos </t>
    </r>
    <r>
      <rPr>
        <sz val="10"/>
        <rFont val="Noto Sans CJK SC"/>
        <family val="2"/>
      </rPr>
      <t xml:space="preserve">아님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제외 권장</t>
    </r>
  </si>
  <si>
    <t xml:space="preserve">rave</t>
  </si>
  <si>
    <t xml:space="preserve">극찬</t>
  </si>
  <si>
    <r>
      <rPr>
        <sz val="10"/>
        <rFont val="Noto Sans CJK SC"/>
        <family val="2"/>
      </rPr>
      <t xml:space="preserve">극찬</t>
    </r>
    <r>
      <rPr>
        <sz val="10"/>
        <rFont val="Arial"/>
        <family val="0"/>
        <charset val="1"/>
      </rPr>
      <t xml:space="preserve">/NNG</t>
    </r>
  </si>
  <si>
    <t xml:space="preserve">vulnerable</t>
  </si>
  <si>
    <t xml:space="preserve">취약</t>
  </si>
  <si>
    <r>
      <rPr>
        <sz val="10"/>
        <rFont val="Noto Sans CJK SC"/>
        <family val="2"/>
      </rPr>
      <t xml:space="preserve">취약</t>
    </r>
    <r>
      <rPr>
        <sz val="10"/>
        <rFont val="Arial"/>
        <family val="0"/>
        <charset val="1"/>
      </rPr>
      <t xml:space="preserve">/NNG</t>
    </r>
  </si>
  <si>
    <t xml:space="preserve">emotive</t>
  </si>
  <si>
    <t xml:space="preserve">감성적</t>
  </si>
  <si>
    <r>
      <rPr>
        <sz val="10"/>
        <rFont val="Noto Sans CJK SC"/>
        <family val="2"/>
      </rPr>
      <t xml:space="preserve">감성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적</t>
    </r>
    <r>
      <rPr>
        <sz val="10"/>
        <rFont val="Arial"/>
        <family val="0"/>
        <charset val="1"/>
      </rPr>
      <t xml:space="preserve">/XSN</t>
    </r>
  </si>
  <si>
    <r>
      <rPr>
        <sz val="10"/>
        <rFont val="Noto Sans CJK SC"/>
        <family val="2"/>
      </rPr>
      <t xml:space="preserve">감성</t>
    </r>
    <r>
      <rPr>
        <sz val="10"/>
        <rFont val="Arial"/>
        <family val="0"/>
        <charset val="1"/>
      </rPr>
      <t xml:space="preserve">/NNG</t>
    </r>
  </si>
  <si>
    <t xml:space="preserve">frantic</t>
  </si>
  <si>
    <t xml:space="preserve">정신없다</t>
  </si>
  <si>
    <r>
      <rPr>
        <sz val="10"/>
        <rFont val="Noto Sans CJK SC"/>
        <family val="2"/>
      </rPr>
      <t xml:space="preserve">정신없</t>
    </r>
    <r>
      <rPr>
        <sz val="10"/>
        <rFont val="Arial"/>
        <family val="0"/>
        <charset val="1"/>
      </rPr>
      <t xml:space="preserve">/VA + 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/EF</t>
    </r>
  </si>
  <si>
    <r>
      <rPr>
        <sz val="10"/>
        <rFont val="Noto Sans CJK SC"/>
        <family val="2"/>
      </rPr>
      <t xml:space="preserve">정신없</t>
    </r>
    <r>
      <rPr>
        <sz val="10"/>
        <rFont val="Arial"/>
        <family val="0"/>
        <charset val="1"/>
      </rPr>
      <t xml:space="preserve">/VA</t>
    </r>
  </si>
  <si>
    <t xml:space="preserve">sensitive</t>
  </si>
  <si>
    <t xml:space="preserve">민감</t>
  </si>
  <si>
    <r>
      <rPr>
        <sz val="10"/>
        <rFont val="Noto Sans CJK SC"/>
        <family val="2"/>
      </rPr>
      <t xml:space="preserve">민감</t>
    </r>
    <r>
      <rPr>
        <sz val="10"/>
        <rFont val="Arial"/>
        <family val="0"/>
        <charset val="1"/>
      </rPr>
      <t xml:space="preserve">/XR</t>
    </r>
  </si>
  <si>
    <t xml:space="preserve">overwrought</t>
  </si>
  <si>
    <t xml:space="preserve">과민</t>
  </si>
  <si>
    <r>
      <rPr>
        <sz val="10"/>
        <rFont val="Noto Sans CJK SC"/>
        <family val="2"/>
      </rPr>
      <t xml:space="preserve">과민</t>
    </r>
    <r>
      <rPr>
        <sz val="10"/>
        <rFont val="Arial"/>
        <family val="0"/>
        <charset val="1"/>
      </rPr>
      <t xml:space="preserve">/NNG</t>
    </r>
  </si>
  <si>
    <t xml:space="preserve">vitalize</t>
  </si>
  <si>
    <t xml:space="preserve">ecstatic</t>
  </si>
  <si>
    <t xml:space="preserve">황홀</t>
  </si>
  <si>
    <r>
      <rPr>
        <sz val="10"/>
        <rFont val="Noto Sans CJK SC"/>
        <family val="2"/>
      </rPr>
      <t xml:space="preserve">황홀</t>
    </r>
    <r>
      <rPr>
        <sz val="10"/>
        <rFont val="Arial"/>
        <family val="0"/>
        <charset val="1"/>
      </rPr>
      <t xml:space="preserve">/NNG</t>
    </r>
  </si>
  <si>
    <t xml:space="preserve">feverish</t>
  </si>
  <si>
    <t xml:space="preserve">열띠다</t>
  </si>
  <si>
    <r>
      <rPr>
        <sz val="10"/>
        <rFont val="Noto Sans CJK SC"/>
        <family val="2"/>
      </rPr>
      <t xml:space="preserve">열띠</t>
    </r>
    <r>
      <rPr>
        <sz val="10"/>
        <rFont val="Arial"/>
        <family val="0"/>
        <charset val="1"/>
      </rPr>
      <t xml:space="preserve">/VA + 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/EF</t>
    </r>
  </si>
  <si>
    <r>
      <rPr>
        <sz val="10"/>
        <rFont val="Noto Sans CJK SC"/>
        <family val="2"/>
      </rPr>
      <t xml:space="preserve">열띠</t>
    </r>
    <r>
      <rPr>
        <sz val="10"/>
        <rFont val="Arial"/>
        <family val="0"/>
        <charset val="1"/>
      </rPr>
      <t xml:space="preserve">/VA</t>
    </r>
  </si>
  <si>
    <t xml:space="preserve">carried-away</t>
  </si>
  <si>
    <t xml:space="preserve">도취</t>
  </si>
  <si>
    <r>
      <rPr>
        <sz val="10"/>
        <rFont val="Noto Sans CJK SC"/>
        <family val="2"/>
      </rPr>
      <t xml:space="preserve">도취</t>
    </r>
    <r>
      <rPr>
        <sz val="10"/>
        <rFont val="Arial"/>
        <family val="0"/>
        <charset val="1"/>
      </rPr>
      <t xml:space="preserve">/NNG</t>
    </r>
  </si>
  <si>
    <t xml:space="preserve">fanatic</t>
  </si>
  <si>
    <t xml:space="preserve">광적</t>
  </si>
  <si>
    <r>
      <rPr>
        <sz val="10"/>
        <rFont val="Noto Sans CJK SC"/>
        <family val="2"/>
      </rPr>
      <t xml:space="preserve">광적</t>
    </r>
    <r>
      <rPr>
        <sz val="10"/>
        <rFont val="Arial"/>
        <family val="0"/>
        <charset val="1"/>
      </rPr>
      <t xml:space="preserve">/NNG</t>
    </r>
  </si>
  <si>
    <t xml:space="preserve">love</t>
  </si>
  <si>
    <t xml:space="preserve">사랑</t>
  </si>
  <si>
    <r>
      <rPr>
        <sz val="10"/>
        <rFont val="Noto Sans CJK SC"/>
        <family val="2"/>
      </rPr>
      <t xml:space="preserve">사랑</t>
    </r>
    <r>
      <rPr>
        <sz val="10"/>
        <rFont val="Arial"/>
        <family val="0"/>
        <charset val="1"/>
      </rPr>
      <t xml:space="preserve">/NNG</t>
    </r>
  </si>
  <si>
    <t xml:space="preserve">theatrics</t>
  </si>
  <si>
    <t xml:space="preserve">과장</t>
  </si>
  <si>
    <r>
      <rPr>
        <sz val="10"/>
        <rFont val="Noto Sans CJK SC"/>
        <family val="2"/>
      </rPr>
      <t xml:space="preserve">과장</t>
    </r>
    <r>
      <rPr>
        <sz val="10"/>
        <rFont val="Arial"/>
        <family val="0"/>
        <charset val="1"/>
      </rPr>
      <t xml:space="preserve">/NNG</t>
    </r>
  </si>
  <si>
    <t xml:space="preserve">fierce</t>
  </si>
  <si>
    <t xml:space="preserve">치열</t>
  </si>
  <si>
    <r>
      <rPr>
        <sz val="10"/>
        <rFont val="Noto Sans CJK SC"/>
        <family val="2"/>
      </rPr>
      <t xml:space="preserve">치열</t>
    </r>
    <r>
      <rPr>
        <sz val="10"/>
        <rFont val="Arial"/>
        <family val="0"/>
        <charset val="1"/>
      </rPr>
      <t xml:space="preserve">/NNG</t>
    </r>
  </si>
  <si>
    <t xml:space="preserve">laugh</t>
  </si>
  <si>
    <t xml:space="preserve">웃음</t>
  </si>
  <si>
    <r>
      <rPr>
        <sz val="10"/>
        <rFont val="Noto Sans CJK SC"/>
        <family val="2"/>
      </rPr>
      <t xml:space="preserve">웃음</t>
    </r>
    <r>
      <rPr>
        <sz val="10"/>
        <rFont val="Arial"/>
        <family val="0"/>
        <charset val="1"/>
      </rPr>
      <t xml:space="preserve">/NNG</t>
    </r>
  </si>
  <si>
    <t xml:space="preserve">impatience</t>
  </si>
  <si>
    <t xml:space="preserve">조급</t>
  </si>
  <si>
    <r>
      <rPr>
        <sz val="10"/>
        <rFont val="Noto Sans CJK SC"/>
        <family val="2"/>
      </rPr>
      <t xml:space="preserve">조급</t>
    </r>
    <r>
      <rPr>
        <sz val="10"/>
        <rFont val="Arial"/>
        <family val="0"/>
        <charset val="1"/>
      </rPr>
      <t xml:space="preserve">/XR</t>
    </r>
  </si>
  <si>
    <t xml:space="preserve">severe</t>
  </si>
  <si>
    <t xml:space="preserve">심각</t>
  </si>
  <si>
    <r>
      <rPr>
        <sz val="10"/>
        <rFont val="Noto Sans CJK SC"/>
        <family val="2"/>
      </rPr>
      <t xml:space="preserve">심각</t>
    </r>
    <r>
      <rPr>
        <sz val="10"/>
        <rFont val="Arial"/>
        <family val="0"/>
        <charset val="1"/>
      </rPr>
      <t xml:space="preserve">/XR</t>
    </r>
  </si>
  <si>
    <t xml:space="preserve">urgency</t>
  </si>
  <si>
    <t xml:space="preserve">시급</t>
  </si>
  <si>
    <r>
      <rPr>
        <sz val="10"/>
        <rFont val="Noto Sans CJK SC"/>
        <family val="2"/>
      </rPr>
      <t xml:space="preserve">시급</t>
    </r>
    <r>
      <rPr>
        <sz val="10"/>
        <rFont val="Arial"/>
        <family val="0"/>
        <charset val="1"/>
      </rPr>
      <t xml:space="preserve">/NNG</t>
    </r>
  </si>
  <si>
    <t xml:space="preserve">긴급</t>
  </si>
  <si>
    <r>
      <rPr>
        <sz val="10"/>
        <rFont val="Noto Sans CJK SC"/>
        <family val="2"/>
      </rPr>
      <t xml:space="preserve">긴급</t>
    </r>
    <r>
      <rPr>
        <sz val="10"/>
        <rFont val="Arial"/>
        <family val="0"/>
        <charset val="1"/>
      </rPr>
      <t xml:space="preserve">/NNG</t>
    </r>
  </si>
  <si>
    <t xml:space="preserve">hysterical</t>
  </si>
  <si>
    <t xml:space="preserve">히스테리</t>
  </si>
  <si>
    <r>
      <rPr>
        <sz val="10"/>
        <rFont val="Noto Sans CJK SC"/>
        <family val="2"/>
      </rPr>
      <t xml:space="preserve">히스테리</t>
    </r>
    <r>
      <rPr>
        <sz val="10"/>
        <rFont val="Arial"/>
        <family val="0"/>
        <charset val="1"/>
      </rPr>
      <t xml:space="preserve">/NNG</t>
    </r>
  </si>
  <si>
    <t xml:space="preserve">impulsive</t>
  </si>
  <si>
    <t xml:space="preserve">충동</t>
  </si>
  <si>
    <r>
      <rPr>
        <sz val="10"/>
        <rFont val="Noto Sans CJK SC"/>
        <family val="2"/>
      </rPr>
      <t xml:space="preserve">충동</t>
    </r>
    <r>
      <rPr>
        <sz val="10"/>
        <rFont val="Arial"/>
        <family val="0"/>
        <charset val="1"/>
      </rPr>
      <t xml:space="preserve">/NNG</t>
    </r>
  </si>
  <si>
    <t xml:space="preserve">strike-a-chord</t>
  </si>
  <si>
    <t xml:space="preserve">공감</t>
  </si>
  <si>
    <r>
      <rPr>
        <sz val="10"/>
        <rFont val="Noto Sans CJK SC"/>
        <family val="2"/>
      </rPr>
      <t xml:space="preserve">공감</t>
    </r>
    <r>
      <rPr>
        <sz val="10"/>
        <rFont val="Arial"/>
        <family val="0"/>
        <charset val="1"/>
      </rPr>
      <t xml:space="preserve">/NNG</t>
    </r>
  </si>
  <si>
    <r>
      <rPr>
        <sz val="10"/>
        <rFont val="Noto Sans CJK SC"/>
        <family val="2"/>
      </rPr>
      <t xml:space="preserve">차원충돌</t>
    </r>
    <r>
      <rPr>
        <sz val="10"/>
        <rFont val="Arial"/>
        <family val="0"/>
        <charset val="1"/>
      </rPr>
      <t xml:space="preserve">:ethos·pathos</t>
    </r>
  </si>
  <si>
    <r>
      <rPr>
        <sz val="10"/>
        <rFont val="Arial"/>
        <family val="0"/>
        <charset val="1"/>
      </rPr>
      <t xml:space="preserve">pathos(strike-a-chord)·ethos(empathy, sympathy) </t>
    </r>
    <r>
      <rPr>
        <sz val="10"/>
        <rFont val="Noto Sans CJK SC"/>
        <family val="2"/>
      </rPr>
      <t xml:space="preserve">양쪽 → 차원 배정 평정 필요</t>
    </r>
  </si>
  <si>
    <t xml:space="preserve">ecstasy</t>
  </si>
  <si>
    <t xml:space="preserve">환희</t>
  </si>
  <si>
    <r>
      <rPr>
        <sz val="10"/>
        <rFont val="Noto Sans CJK SC"/>
        <family val="2"/>
      </rPr>
      <t xml:space="preserve">환희</t>
    </r>
    <r>
      <rPr>
        <sz val="10"/>
        <rFont val="Arial"/>
        <family val="0"/>
        <charset val="1"/>
      </rPr>
      <t xml:space="preserve">/NNG</t>
    </r>
  </si>
  <si>
    <t xml:space="preserve">hasty</t>
  </si>
  <si>
    <t xml:space="preserve">성급</t>
  </si>
  <si>
    <r>
      <rPr>
        <sz val="10"/>
        <rFont val="Noto Sans CJK SC"/>
        <family val="2"/>
      </rPr>
      <t xml:space="preserve">성급</t>
    </r>
    <r>
      <rPr>
        <sz val="10"/>
        <rFont val="Arial"/>
        <family val="0"/>
        <charset val="1"/>
      </rPr>
      <t xml:space="preserve">/NNG</t>
    </r>
  </si>
  <si>
    <t xml:space="preserve">heartstrings</t>
  </si>
  <si>
    <t xml:space="preserve">심금</t>
  </si>
  <si>
    <r>
      <rPr>
        <sz val="10"/>
        <rFont val="Noto Sans CJK SC"/>
        <family val="2"/>
      </rPr>
      <t xml:space="preserve">심금</t>
    </r>
    <r>
      <rPr>
        <sz val="10"/>
        <rFont val="Arial"/>
        <family val="0"/>
        <charset val="1"/>
      </rPr>
      <t xml:space="preserve">/NNG</t>
    </r>
  </si>
  <si>
    <t xml:space="preserve">thrill</t>
  </si>
  <si>
    <t xml:space="preserve">짜릿</t>
  </si>
  <si>
    <r>
      <rPr>
        <sz val="10"/>
        <rFont val="Noto Sans CJK SC"/>
        <family val="2"/>
      </rPr>
      <t xml:space="preserve">짜릿</t>
    </r>
    <r>
      <rPr>
        <sz val="10"/>
        <rFont val="Arial"/>
        <family val="0"/>
        <charset val="1"/>
      </rPr>
      <t xml:space="preserve">/XR</t>
    </r>
  </si>
  <si>
    <t xml:space="preserve">turbulent</t>
  </si>
  <si>
    <t xml:space="preserve">격동</t>
  </si>
  <si>
    <r>
      <rPr>
        <sz val="10"/>
        <rFont val="Noto Sans CJK SC"/>
        <family val="2"/>
      </rPr>
      <t xml:space="preserve">격동</t>
    </r>
    <r>
      <rPr>
        <sz val="10"/>
        <rFont val="Arial"/>
        <family val="0"/>
        <charset val="1"/>
      </rPr>
      <t xml:space="preserve">/NNG</t>
    </r>
  </si>
  <si>
    <t xml:space="preserve">poignant</t>
  </si>
  <si>
    <t xml:space="preserve">애절</t>
  </si>
  <si>
    <r>
      <rPr>
        <sz val="10"/>
        <rFont val="Noto Sans CJK SC"/>
        <family val="2"/>
      </rPr>
      <t xml:space="preserve">애절</t>
    </r>
    <r>
      <rPr>
        <sz val="10"/>
        <rFont val="Arial"/>
        <family val="0"/>
        <charset val="1"/>
      </rPr>
      <t xml:space="preserve">/XR</t>
    </r>
  </si>
  <si>
    <t xml:space="preserve">tumultuous</t>
  </si>
  <si>
    <t xml:space="preserve">격변</t>
  </si>
  <si>
    <r>
      <rPr>
        <sz val="10"/>
        <rFont val="Noto Sans CJK SC"/>
        <family val="2"/>
      </rPr>
      <t xml:space="preserve">격변</t>
    </r>
    <r>
      <rPr>
        <sz val="10"/>
        <rFont val="Arial"/>
        <family val="0"/>
        <charset val="1"/>
      </rPr>
      <t xml:space="preserve">/NNG</t>
    </r>
  </si>
  <si>
    <t xml:space="preserve">pathetic</t>
  </si>
  <si>
    <t xml:space="preserve">비참</t>
  </si>
  <si>
    <r>
      <rPr>
        <sz val="10"/>
        <rFont val="Noto Sans CJK SC"/>
        <family val="2"/>
      </rPr>
      <t xml:space="preserve">비참</t>
    </r>
    <r>
      <rPr>
        <sz val="10"/>
        <rFont val="Arial"/>
        <family val="0"/>
        <charset val="1"/>
      </rPr>
      <t xml:space="preserve">/NNG</t>
    </r>
  </si>
  <si>
    <t xml:space="preserve">disturb</t>
  </si>
  <si>
    <t xml:space="preserve">방해</t>
  </si>
  <si>
    <r>
      <rPr>
        <sz val="10"/>
        <rFont val="Noto Sans CJK SC"/>
        <family val="2"/>
      </rPr>
      <t xml:space="preserve">방해</t>
    </r>
    <r>
      <rPr>
        <sz val="10"/>
        <rFont val="Arial"/>
        <family val="0"/>
        <charset val="1"/>
      </rPr>
      <t xml:space="preserve">/NNG</t>
    </r>
  </si>
  <si>
    <t xml:space="preserve">heartfelt</t>
  </si>
  <si>
    <t xml:space="preserve">진심</t>
  </si>
  <si>
    <r>
      <rPr>
        <sz val="10"/>
        <rFont val="Noto Sans CJK SC"/>
        <family val="2"/>
      </rPr>
      <t xml:space="preserve">진심</t>
    </r>
    <r>
      <rPr>
        <sz val="10"/>
        <rFont val="Arial"/>
        <family val="0"/>
        <charset val="1"/>
      </rPr>
      <t xml:space="preserve">/NNG</t>
    </r>
  </si>
  <si>
    <t xml:space="preserve">compulsion</t>
  </si>
  <si>
    <t xml:space="preserve">강박</t>
  </si>
  <si>
    <r>
      <rPr>
        <sz val="10"/>
        <rFont val="Noto Sans CJK SC"/>
        <family val="2"/>
      </rPr>
      <t xml:space="preserve">강박</t>
    </r>
    <r>
      <rPr>
        <sz val="10"/>
        <rFont val="Arial"/>
        <family val="0"/>
        <charset val="1"/>
      </rPr>
      <t xml:space="preserve">/NNG</t>
    </r>
  </si>
  <si>
    <t xml:space="preserve">excruciate</t>
  </si>
  <si>
    <t xml:space="preserve">극심</t>
  </si>
  <si>
    <r>
      <rPr>
        <sz val="10"/>
        <rFont val="Noto Sans CJK SC"/>
        <family val="2"/>
      </rPr>
      <t xml:space="preserve">극심</t>
    </r>
    <r>
      <rPr>
        <sz val="10"/>
        <rFont val="Arial"/>
        <family val="0"/>
        <charset val="1"/>
      </rPr>
      <t xml:space="preserve">/XR</t>
    </r>
  </si>
  <si>
    <t xml:space="preserve">emphatic</t>
  </si>
  <si>
    <t xml:space="preserve">단호</t>
  </si>
  <si>
    <r>
      <rPr>
        <sz val="10"/>
        <rFont val="Noto Sans CJK SC"/>
        <family val="2"/>
      </rPr>
      <t xml:space="preserve">단호</t>
    </r>
    <r>
      <rPr>
        <sz val="10"/>
        <rFont val="Arial"/>
        <family val="0"/>
        <charset val="1"/>
      </rPr>
      <t xml:space="preserve">/XR</t>
    </r>
  </si>
  <si>
    <t xml:space="preserve">adore</t>
  </si>
  <si>
    <t xml:space="preserve">애정</t>
  </si>
  <si>
    <r>
      <rPr>
        <sz val="10"/>
        <rFont val="Noto Sans CJK SC"/>
        <family val="2"/>
      </rPr>
      <t xml:space="preserve">애정</t>
    </r>
    <r>
      <rPr>
        <sz val="10"/>
        <rFont val="Arial"/>
        <family val="0"/>
        <charset val="1"/>
      </rPr>
      <t xml:space="preserve">/NNG</t>
    </r>
  </si>
  <si>
    <t xml:space="preserve">soul-stirring</t>
  </si>
  <si>
    <t xml:space="preserve">감동</t>
  </si>
  <si>
    <t xml:space="preserve">evoke</t>
  </si>
  <si>
    <t xml:space="preserve">불러일으키다</t>
  </si>
  <si>
    <r>
      <rPr>
        <sz val="10"/>
        <rFont val="Noto Sans CJK SC"/>
        <family val="2"/>
      </rPr>
      <t xml:space="preserve">불러일으키</t>
    </r>
    <r>
      <rPr>
        <sz val="10"/>
        <rFont val="Arial"/>
        <family val="0"/>
        <charset val="1"/>
      </rPr>
      <t xml:space="preserve">/VV + 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/EF</t>
    </r>
  </si>
  <si>
    <r>
      <rPr>
        <sz val="10"/>
        <rFont val="Noto Sans CJK SC"/>
        <family val="2"/>
      </rPr>
      <t xml:space="preserve">불러일으키</t>
    </r>
    <r>
      <rPr>
        <sz val="10"/>
        <rFont val="Arial"/>
        <family val="0"/>
        <charset val="1"/>
      </rPr>
      <t xml:space="preserve">/VV</t>
    </r>
  </si>
  <si>
    <t xml:space="preserve">ambitious</t>
  </si>
  <si>
    <t xml:space="preserve">야심</t>
  </si>
  <si>
    <r>
      <rPr>
        <sz val="10"/>
        <rFont val="Noto Sans CJK SC"/>
        <family val="2"/>
      </rPr>
      <t xml:space="preserve">야심</t>
    </r>
    <r>
      <rPr>
        <sz val="10"/>
        <rFont val="Arial"/>
        <family val="0"/>
        <charset val="1"/>
      </rPr>
      <t xml:space="preserve">/NNG</t>
    </r>
  </si>
  <si>
    <t xml:space="preserve">도전적</t>
  </si>
  <si>
    <r>
      <rPr>
        <sz val="10"/>
        <rFont val="Noto Sans CJK SC"/>
        <family val="2"/>
      </rPr>
      <t xml:space="preserve">도전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적</t>
    </r>
    <r>
      <rPr>
        <sz val="10"/>
        <rFont val="Arial"/>
        <family val="0"/>
        <charset val="1"/>
      </rPr>
      <t xml:space="preserve">/XSN</t>
    </r>
  </si>
  <si>
    <r>
      <rPr>
        <sz val="10"/>
        <rFont val="Noto Sans CJK SC"/>
        <family val="2"/>
      </rPr>
      <t xml:space="preserve">도전</t>
    </r>
    <r>
      <rPr>
        <sz val="10"/>
        <rFont val="Arial"/>
        <family val="0"/>
        <charset val="1"/>
      </rPr>
      <t xml:space="preserve">/NNG</t>
    </r>
  </si>
  <si>
    <t xml:space="preserve">expressive</t>
  </si>
  <si>
    <t xml:space="preserve">표현력</t>
  </si>
  <si>
    <r>
      <rPr>
        <sz val="10"/>
        <rFont val="Noto Sans CJK SC"/>
        <family val="2"/>
      </rPr>
      <t xml:space="preserve">표현력</t>
    </r>
    <r>
      <rPr>
        <sz val="10"/>
        <rFont val="Arial"/>
        <family val="0"/>
        <charset val="1"/>
      </rPr>
      <t xml:space="preserve">/NNG</t>
    </r>
  </si>
  <si>
    <t xml:space="preserve">eloquent</t>
  </si>
  <si>
    <t xml:space="preserve">유창</t>
  </si>
  <si>
    <r>
      <rPr>
        <sz val="10"/>
        <rFont val="Noto Sans CJK SC"/>
        <family val="2"/>
      </rPr>
      <t xml:space="preserve">유창</t>
    </r>
    <r>
      <rPr>
        <sz val="10"/>
        <rFont val="Arial"/>
        <family val="0"/>
        <charset val="1"/>
      </rPr>
      <t xml:space="preserve">/XR</t>
    </r>
  </si>
  <si>
    <t xml:space="preserve">aspire</t>
  </si>
  <si>
    <t xml:space="preserve">열망</t>
  </si>
  <si>
    <r>
      <rPr>
        <sz val="10"/>
        <rFont val="Noto Sans CJK SC"/>
        <family val="2"/>
      </rPr>
      <t xml:space="preserve">열망</t>
    </r>
    <r>
      <rPr>
        <sz val="10"/>
        <rFont val="Arial"/>
        <family val="0"/>
        <charset val="1"/>
      </rPr>
      <t xml:space="preserve">/NNG</t>
    </r>
  </si>
  <si>
    <t xml:space="preserve">demonstrative</t>
  </si>
  <si>
    <t xml:space="preserve">표현적</t>
  </si>
  <si>
    <r>
      <rPr>
        <sz val="10"/>
        <rFont val="Noto Sans CJK SC"/>
        <family val="2"/>
      </rPr>
      <t xml:space="preserve">표현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적</t>
    </r>
    <r>
      <rPr>
        <sz val="10"/>
        <rFont val="Arial"/>
        <family val="0"/>
        <charset val="1"/>
      </rPr>
      <t xml:space="preserve">/XSN</t>
    </r>
  </si>
  <si>
    <r>
      <rPr>
        <sz val="10"/>
        <rFont val="Noto Sans CJK SC"/>
        <family val="2"/>
      </rPr>
      <t xml:space="preserve">표현</t>
    </r>
    <r>
      <rPr>
        <sz val="10"/>
        <rFont val="Arial"/>
        <family val="0"/>
        <charset val="1"/>
      </rPr>
      <t xml:space="preserve">/NNG</t>
    </r>
  </si>
  <si>
    <t xml:space="preserve">fervent</t>
  </si>
  <si>
    <t xml:space="preserve">touchy</t>
  </si>
  <si>
    <t xml:space="preserve">예민</t>
  </si>
  <si>
    <r>
      <rPr>
        <sz val="10"/>
        <rFont val="Noto Sans CJK SC"/>
        <family val="2"/>
      </rPr>
      <t xml:space="preserve">예민</t>
    </r>
    <r>
      <rPr>
        <sz val="10"/>
        <rFont val="Arial"/>
        <family val="0"/>
        <charset val="1"/>
      </rPr>
      <t xml:space="preserve">/XR</t>
    </r>
  </si>
  <si>
    <t xml:space="preserve">dramatic</t>
  </si>
  <si>
    <t xml:space="preserve">극적</t>
  </si>
  <si>
    <r>
      <rPr>
        <sz val="10"/>
        <rFont val="Noto Sans CJK SC"/>
        <family val="2"/>
      </rPr>
      <t xml:space="preserve">극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적</t>
    </r>
    <r>
      <rPr>
        <sz val="10"/>
        <rFont val="Arial"/>
        <family val="0"/>
        <charset val="1"/>
      </rPr>
      <t xml:space="preserve">/XSN</t>
    </r>
  </si>
  <si>
    <r>
      <rPr>
        <sz val="10"/>
        <rFont val="Noto Sans CJK SC"/>
        <family val="2"/>
      </rPr>
      <t xml:space="preserve">극</t>
    </r>
    <r>
      <rPr>
        <sz val="10"/>
        <rFont val="Arial"/>
        <family val="0"/>
        <charset val="1"/>
      </rPr>
      <t xml:space="preserve">/NNG</t>
    </r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</si>
  <si>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극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적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으로 분석 → 키가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음절이라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극복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등과 혼동 위험은 없으나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형태소 단위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확인 필요</t>
    </r>
  </si>
  <si>
    <t xml:space="preserve">fervid</t>
  </si>
  <si>
    <t xml:space="preserve">zeal</t>
  </si>
  <si>
    <t xml:space="preserve">overzealous</t>
  </si>
  <si>
    <t xml:space="preserve">과욕</t>
  </si>
  <si>
    <r>
      <rPr>
        <sz val="10"/>
        <rFont val="Noto Sans CJK SC"/>
        <family val="2"/>
      </rPr>
      <t xml:space="preserve">과욕</t>
    </r>
    <r>
      <rPr>
        <sz val="10"/>
        <rFont val="Arial"/>
        <family val="0"/>
        <charset val="1"/>
      </rPr>
      <t xml:space="preserve">/NNG</t>
    </r>
  </si>
  <si>
    <t xml:space="preserve">emote</t>
  </si>
  <si>
    <t xml:space="preserve">감정 표출</t>
  </si>
  <si>
    <r>
      <rPr>
        <sz val="10"/>
        <rFont val="Noto Sans CJK SC"/>
        <family val="2"/>
      </rPr>
      <t xml:space="preserve">감정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표출</t>
    </r>
    <r>
      <rPr>
        <sz val="10"/>
        <rFont val="Arial"/>
        <family val="0"/>
        <charset val="1"/>
      </rPr>
      <t xml:space="preserve">/NNG</t>
    </r>
  </si>
  <si>
    <t xml:space="preserve">earnest</t>
  </si>
  <si>
    <t xml:space="preserve">진지</t>
  </si>
  <si>
    <r>
      <rPr>
        <sz val="10"/>
        <rFont val="Noto Sans CJK SC"/>
        <family val="2"/>
      </rPr>
      <t xml:space="preserve">진지</t>
    </r>
    <r>
      <rPr>
        <sz val="10"/>
        <rFont val="Arial"/>
        <family val="0"/>
        <charset val="1"/>
      </rPr>
      <t xml:space="preserve">/NNG</t>
    </r>
  </si>
  <si>
    <t xml:space="preserve">determination</t>
  </si>
  <si>
    <t xml:space="preserve">결의</t>
  </si>
  <si>
    <r>
      <rPr>
        <sz val="10"/>
        <rFont val="Noto Sans CJK SC"/>
        <family val="2"/>
      </rPr>
      <t xml:space="preserve">결의</t>
    </r>
    <r>
      <rPr>
        <sz val="10"/>
        <rFont val="Arial"/>
        <family val="0"/>
        <charset val="1"/>
      </rPr>
      <t xml:space="preserve">/NNG</t>
    </r>
  </si>
  <si>
    <t xml:space="preserve">의지</t>
  </si>
  <si>
    <r>
      <rPr>
        <sz val="10"/>
        <rFont val="Noto Sans CJK SC"/>
        <family val="2"/>
      </rPr>
      <t xml:space="preserve">의지</t>
    </r>
    <r>
      <rPr>
        <sz val="10"/>
        <rFont val="Arial"/>
        <family val="0"/>
        <charset val="1"/>
      </rPr>
      <t xml:space="preserve">/NNG</t>
    </r>
  </si>
  <si>
    <r>
      <rPr>
        <sz val="10"/>
        <rFont val="Noto Sans CJK SC"/>
        <family val="2"/>
      </rPr>
      <t xml:space="preserve">동음이의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意志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결의</t>
    </r>
    <r>
      <rPr>
        <sz val="10"/>
        <rFont val="Arial"/>
        <family val="0"/>
        <charset val="1"/>
      </rPr>
      <t xml:space="preserve">, pathos) vs </t>
    </r>
    <r>
      <rPr>
        <sz val="10"/>
        <rFont val="Noto Sans CJK SC"/>
        <family val="2"/>
      </rPr>
      <t xml:space="preserve">依支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의존</t>
    </r>
    <r>
      <rPr>
        <sz val="10"/>
        <rFont val="Arial"/>
        <family val="0"/>
        <charset val="1"/>
      </rPr>
      <t xml:space="preserve">)</t>
    </r>
  </si>
  <si>
    <t xml:space="preserve">tense</t>
  </si>
  <si>
    <t xml:space="preserve">긴장</t>
  </si>
  <si>
    <r>
      <rPr>
        <sz val="10"/>
        <rFont val="Noto Sans CJK SC"/>
        <family val="2"/>
      </rPr>
      <t xml:space="preserve">긴장</t>
    </r>
    <r>
      <rPr>
        <sz val="10"/>
        <rFont val="Arial"/>
        <family val="0"/>
        <charset val="1"/>
      </rPr>
      <t xml:space="preserve">/NNG</t>
    </r>
  </si>
  <si>
    <t xml:space="preserve">fervour</t>
  </si>
  <si>
    <t xml:space="preserve">열기</t>
  </si>
  <si>
    <r>
      <rPr>
        <sz val="10"/>
        <rFont val="Noto Sans CJK SC"/>
        <family val="2"/>
      </rPr>
      <t xml:space="preserve">열기</t>
    </r>
    <r>
      <rPr>
        <sz val="10"/>
        <rFont val="Arial"/>
        <family val="0"/>
        <charset val="1"/>
      </rPr>
      <t xml:space="preserve">/NNG</t>
    </r>
  </si>
  <si>
    <t xml:space="preserve">relish</t>
  </si>
  <si>
    <t xml:space="preserve">즐기다</t>
  </si>
  <si>
    <r>
      <rPr>
        <sz val="10"/>
        <rFont val="Noto Sans CJK SC"/>
        <family val="2"/>
      </rPr>
      <t xml:space="preserve">즐기</t>
    </r>
    <r>
      <rPr>
        <sz val="10"/>
        <rFont val="Arial"/>
        <family val="0"/>
        <charset val="1"/>
      </rPr>
      <t xml:space="preserve">/VV + 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/EF</t>
    </r>
  </si>
  <si>
    <r>
      <rPr>
        <sz val="10"/>
        <rFont val="Noto Sans CJK SC"/>
        <family val="2"/>
      </rPr>
      <t xml:space="preserve">즐기</t>
    </r>
    <r>
      <rPr>
        <sz val="10"/>
        <rFont val="Arial"/>
        <family val="0"/>
        <charset val="1"/>
      </rPr>
      <t xml:space="preserve">/VV</t>
    </r>
  </si>
  <si>
    <t xml:space="preserve">crazy</t>
  </si>
  <si>
    <t xml:space="preserve">미치다</t>
  </si>
  <si>
    <r>
      <rPr>
        <sz val="10"/>
        <rFont val="Noto Sans CJK SC"/>
        <family val="2"/>
      </rPr>
      <t xml:space="preserve">미치</t>
    </r>
    <r>
      <rPr>
        <sz val="10"/>
        <rFont val="Arial"/>
        <family val="0"/>
        <charset val="1"/>
      </rPr>
      <t xml:space="preserve">/VV + 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/EF</t>
    </r>
  </si>
  <si>
    <r>
      <rPr>
        <sz val="10"/>
        <rFont val="Noto Sans CJK SC"/>
        <family val="2"/>
      </rPr>
      <t xml:space="preserve">미치</t>
    </r>
    <r>
      <rPr>
        <sz val="10"/>
        <rFont val="Arial"/>
        <family val="0"/>
        <charset val="1"/>
      </rPr>
      <t xml:space="preserve">/VV</t>
    </r>
  </si>
  <si>
    <t xml:space="preserve">craze</t>
  </si>
  <si>
    <t xml:space="preserve">열풍</t>
  </si>
  <si>
    <r>
      <rPr>
        <sz val="10"/>
        <rFont val="Noto Sans CJK SC"/>
        <family val="2"/>
      </rPr>
      <t xml:space="preserve">열풍</t>
    </r>
    <r>
      <rPr>
        <sz val="10"/>
        <rFont val="Arial"/>
        <family val="0"/>
        <charset val="1"/>
      </rPr>
      <t xml:space="preserve">/NNG</t>
    </r>
  </si>
  <si>
    <r>
      <rPr>
        <sz val="10"/>
        <rFont val="Arial"/>
        <family val="0"/>
        <charset val="1"/>
      </rPr>
      <t xml:space="preserve">craze. '○○ </t>
    </r>
    <r>
      <rPr>
        <sz val="10"/>
        <rFont val="Noto Sans CJK SC"/>
        <family val="2"/>
      </rPr>
      <t xml:space="preserve">열풍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은 시장 서술 맥락</t>
    </r>
  </si>
  <si>
    <t xml:space="preserve">happiness</t>
  </si>
  <si>
    <t xml:space="preserve">행복</t>
  </si>
  <si>
    <r>
      <rPr>
        <sz val="10"/>
        <rFont val="Noto Sans CJK SC"/>
        <family val="2"/>
      </rPr>
      <t xml:space="preserve">행복</t>
    </r>
    <r>
      <rPr>
        <sz val="10"/>
        <rFont val="Arial"/>
        <family val="0"/>
        <charset val="1"/>
      </rPr>
      <t xml:space="preserve">/NNG</t>
    </r>
  </si>
  <si>
    <t xml:space="preserve">glee</t>
  </si>
  <si>
    <t xml:space="preserve">pleasure</t>
  </si>
  <si>
    <t xml:space="preserve">즐거움</t>
  </si>
  <si>
    <r>
      <rPr>
        <sz val="10"/>
        <rFont val="Noto Sans CJK SC"/>
        <family val="2"/>
      </rPr>
      <t xml:space="preserve">즐거움</t>
    </r>
    <r>
      <rPr>
        <sz val="10"/>
        <rFont val="Arial"/>
        <family val="0"/>
        <charset val="1"/>
      </rPr>
      <t xml:space="preserve">/NNG</t>
    </r>
  </si>
  <si>
    <t xml:space="preserve">delight</t>
  </si>
  <si>
    <t xml:space="preserve">기쁨</t>
  </si>
  <si>
    <r>
      <rPr>
        <sz val="10"/>
        <rFont val="Noto Sans CJK SC"/>
        <family val="2"/>
      </rPr>
      <t xml:space="preserve">기쁨</t>
    </r>
    <r>
      <rPr>
        <sz val="10"/>
        <rFont val="Arial"/>
        <family val="0"/>
        <charset val="1"/>
      </rPr>
      <t xml:space="preserve">/NNG</t>
    </r>
  </si>
  <si>
    <t xml:space="preserve">jolly</t>
  </si>
  <si>
    <t xml:space="preserve">유쾌</t>
  </si>
  <si>
    <r>
      <rPr>
        <sz val="10"/>
        <rFont val="Noto Sans CJK SC"/>
        <family val="2"/>
      </rPr>
      <t xml:space="preserve">유쾌</t>
    </r>
    <r>
      <rPr>
        <sz val="10"/>
        <rFont val="Arial"/>
        <family val="0"/>
        <charset val="1"/>
      </rPr>
      <t xml:space="preserve">/XR</t>
    </r>
  </si>
  <si>
    <t xml:space="preserve">enjoy</t>
  </si>
  <si>
    <t xml:space="preserve">enchant</t>
  </si>
  <si>
    <t xml:space="preserve">매료</t>
  </si>
  <si>
    <r>
      <rPr>
        <sz val="10"/>
        <rFont val="Noto Sans CJK SC"/>
        <family val="2"/>
      </rPr>
      <t xml:space="preserve">매료</t>
    </r>
    <r>
      <rPr>
        <sz val="10"/>
        <rFont val="Arial"/>
        <family val="0"/>
        <charset val="1"/>
      </rPr>
      <t xml:space="preserve">/NNG</t>
    </r>
  </si>
  <si>
    <t xml:space="preserve">paradise</t>
  </si>
  <si>
    <t xml:space="preserve">낙원</t>
  </si>
  <si>
    <r>
      <rPr>
        <sz val="10"/>
        <rFont val="Noto Sans CJK SC"/>
        <family val="2"/>
      </rPr>
      <t xml:space="preserve">낙원</t>
    </r>
    <r>
      <rPr>
        <sz val="10"/>
        <rFont val="Arial"/>
        <family val="0"/>
        <charset val="1"/>
      </rPr>
      <t xml:space="preserve">/NNG</t>
    </r>
  </si>
  <si>
    <t xml:space="preserve">heartily</t>
  </si>
  <si>
    <t xml:space="preserve">heart-and-soul</t>
  </si>
  <si>
    <t xml:space="preserve">혼신</t>
  </si>
  <si>
    <r>
      <rPr>
        <sz val="10"/>
        <rFont val="Noto Sans CJK SC"/>
        <family val="2"/>
      </rPr>
      <t xml:space="preserve">혼신</t>
    </r>
    <r>
      <rPr>
        <sz val="10"/>
        <rFont val="Arial"/>
        <family val="0"/>
        <charset val="1"/>
      </rPr>
      <t xml:space="preserve">/NNG</t>
    </r>
  </si>
  <si>
    <t xml:space="preserve">elated</t>
  </si>
  <si>
    <t xml:space="preserve">serenity</t>
  </si>
  <si>
    <t xml:space="preserve">평온</t>
  </si>
  <si>
    <r>
      <rPr>
        <sz val="10"/>
        <rFont val="Noto Sans CJK SC"/>
        <family val="2"/>
      </rPr>
      <t xml:space="preserve">평온</t>
    </r>
    <r>
      <rPr>
        <sz val="10"/>
        <rFont val="Arial"/>
        <family val="0"/>
        <charset val="1"/>
      </rPr>
      <t xml:space="preserve">/NNG</t>
    </r>
  </si>
  <si>
    <t xml:space="preserve">gratification</t>
  </si>
  <si>
    <t xml:space="preserve">충족감</t>
  </si>
  <si>
    <r>
      <rPr>
        <sz val="10"/>
        <rFont val="Noto Sans CJK SC"/>
        <family val="2"/>
      </rPr>
      <t xml:space="preserve">충족감</t>
    </r>
    <r>
      <rPr>
        <sz val="10"/>
        <rFont val="Arial"/>
        <family val="0"/>
        <charset val="1"/>
      </rPr>
      <t xml:space="preserve">/NNG</t>
    </r>
  </si>
  <si>
    <t xml:space="preserve">light-heartedly</t>
  </si>
  <si>
    <t xml:space="preserve">가볍게</t>
  </si>
  <si>
    <r>
      <rPr>
        <sz val="10"/>
        <rFont val="Noto Sans CJK SC"/>
        <family val="2"/>
      </rPr>
      <t xml:space="preserve">가볍</t>
    </r>
    <r>
      <rPr>
        <sz val="10"/>
        <rFont val="Arial"/>
        <family val="0"/>
        <charset val="1"/>
      </rPr>
      <t xml:space="preserve">/VA + </t>
    </r>
    <r>
      <rPr>
        <sz val="10"/>
        <rFont val="Noto Sans CJK SC"/>
        <family val="2"/>
      </rPr>
      <t xml:space="preserve">게</t>
    </r>
    <r>
      <rPr>
        <sz val="10"/>
        <rFont val="Arial"/>
        <family val="0"/>
        <charset val="1"/>
      </rPr>
      <t xml:space="preserve">/EC</t>
    </r>
  </si>
  <si>
    <r>
      <rPr>
        <sz val="10"/>
        <rFont val="Noto Sans CJK SC"/>
        <family val="2"/>
      </rPr>
      <t xml:space="preserve">가볍</t>
    </r>
    <r>
      <rPr>
        <sz val="10"/>
        <rFont val="Arial"/>
        <family val="0"/>
        <charset val="1"/>
      </rPr>
      <t xml:space="preserve">/VA</t>
    </r>
  </si>
  <si>
    <t xml:space="preserve">glad</t>
  </si>
  <si>
    <t xml:space="preserve">기쁘다</t>
  </si>
  <si>
    <r>
      <rPr>
        <sz val="10"/>
        <rFont val="Noto Sans CJK SC"/>
        <family val="2"/>
      </rPr>
      <t xml:space="preserve">기쁘</t>
    </r>
    <r>
      <rPr>
        <sz val="10"/>
        <rFont val="Arial"/>
        <family val="0"/>
        <charset val="1"/>
      </rPr>
      <t xml:space="preserve">/VA + 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/EF</t>
    </r>
  </si>
  <si>
    <r>
      <rPr>
        <sz val="10"/>
        <rFont val="Noto Sans CJK SC"/>
        <family val="2"/>
      </rPr>
      <t xml:space="preserve">기쁘</t>
    </r>
    <r>
      <rPr>
        <sz val="10"/>
        <rFont val="Arial"/>
        <family val="0"/>
        <charset val="1"/>
      </rPr>
      <t xml:space="preserve">/VA</t>
    </r>
  </si>
  <si>
    <t xml:space="preserve">pleased</t>
  </si>
  <si>
    <t xml:space="preserve">cheerful</t>
  </si>
  <si>
    <t xml:space="preserve">쾌활</t>
  </si>
  <si>
    <r>
      <rPr>
        <sz val="10"/>
        <rFont val="Noto Sans CJK SC"/>
        <family val="2"/>
      </rPr>
      <t xml:space="preserve">쾌활</t>
    </r>
    <r>
      <rPr>
        <sz val="10"/>
        <rFont val="Arial"/>
        <family val="0"/>
        <charset val="1"/>
      </rPr>
      <t xml:space="preserve">/XR</t>
    </r>
  </si>
  <si>
    <t xml:space="preserve">satisfy</t>
  </si>
  <si>
    <t xml:space="preserve">만족</t>
  </si>
  <si>
    <r>
      <rPr>
        <sz val="10"/>
        <rFont val="Noto Sans CJK SC"/>
        <family val="2"/>
      </rPr>
      <t xml:space="preserve">만족</t>
    </r>
    <r>
      <rPr>
        <sz val="10"/>
        <rFont val="Arial"/>
        <family val="0"/>
        <charset val="1"/>
      </rPr>
      <t xml:space="preserve">/NNG</t>
    </r>
  </si>
  <si>
    <t xml:space="preserve">well-pleased</t>
  </si>
  <si>
    <t xml:space="preserve">흡족</t>
  </si>
  <si>
    <r>
      <rPr>
        <sz val="10"/>
        <rFont val="Noto Sans CJK SC"/>
        <family val="2"/>
      </rPr>
      <t xml:space="preserve">흡족</t>
    </r>
    <r>
      <rPr>
        <sz val="10"/>
        <rFont val="Arial"/>
        <family val="0"/>
        <charset val="1"/>
      </rPr>
      <t xml:space="preserve">/NNG</t>
    </r>
  </si>
  <si>
    <t xml:space="preserve">joy</t>
  </si>
  <si>
    <t xml:space="preserve">bliss</t>
  </si>
  <si>
    <t xml:space="preserve">지복</t>
  </si>
  <si>
    <r>
      <rPr>
        <sz val="10"/>
        <rFont val="Noto Sans CJK SC"/>
        <family val="2"/>
      </rPr>
      <t xml:space="preserve">지복</t>
    </r>
    <r>
      <rPr>
        <sz val="10"/>
        <rFont val="Arial"/>
        <family val="0"/>
        <charset val="1"/>
      </rPr>
      <t xml:space="preserve">/NNG</t>
    </r>
  </si>
  <si>
    <t xml:space="preserve">exhilaration</t>
  </si>
  <si>
    <t xml:space="preserve">신나다</t>
  </si>
  <si>
    <r>
      <rPr>
        <sz val="10"/>
        <rFont val="Noto Sans CJK SC"/>
        <family val="2"/>
      </rPr>
      <t xml:space="preserve">신나</t>
    </r>
    <r>
      <rPr>
        <sz val="10"/>
        <rFont val="Arial"/>
        <family val="0"/>
        <charset val="1"/>
      </rPr>
      <t xml:space="preserve">/VV + 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/EC</t>
    </r>
  </si>
  <si>
    <r>
      <rPr>
        <sz val="10"/>
        <rFont val="Noto Sans CJK SC"/>
        <family val="2"/>
      </rPr>
      <t xml:space="preserve">신나</t>
    </r>
    <r>
      <rPr>
        <sz val="10"/>
        <rFont val="Arial"/>
        <family val="0"/>
        <charset val="1"/>
      </rPr>
      <t xml:space="preserve">/VV</t>
    </r>
  </si>
  <si>
    <t xml:space="preserve">sadness</t>
  </si>
  <si>
    <t xml:space="preserve">슬픔</t>
  </si>
  <si>
    <r>
      <rPr>
        <sz val="10"/>
        <rFont val="Noto Sans CJK SC"/>
        <family val="2"/>
      </rPr>
      <t xml:space="preserve">슬픔</t>
    </r>
    <r>
      <rPr>
        <sz val="10"/>
        <rFont val="Arial"/>
        <family val="0"/>
        <charset val="1"/>
      </rPr>
      <t xml:space="preserve">/NNG</t>
    </r>
  </si>
  <si>
    <t xml:space="preserve">solemn</t>
  </si>
  <si>
    <t xml:space="preserve">엄숙</t>
  </si>
  <si>
    <r>
      <rPr>
        <sz val="10"/>
        <rFont val="Noto Sans CJK SC"/>
        <family val="2"/>
      </rPr>
      <t xml:space="preserve">엄숙</t>
    </r>
    <r>
      <rPr>
        <sz val="10"/>
        <rFont val="Arial"/>
        <family val="0"/>
        <charset val="1"/>
      </rPr>
      <t xml:space="preserve">/XR</t>
    </r>
  </si>
  <si>
    <t xml:space="preserve">downtrodden</t>
  </si>
  <si>
    <t xml:space="preserve">억압</t>
  </si>
  <si>
    <r>
      <rPr>
        <sz val="10"/>
        <rFont val="Noto Sans CJK SC"/>
        <family val="2"/>
      </rPr>
      <t xml:space="preserve">억압</t>
    </r>
    <r>
      <rPr>
        <sz val="10"/>
        <rFont val="Arial"/>
        <family val="0"/>
        <charset val="1"/>
      </rPr>
      <t xml:space="preserve">/NNG</t>
    </r>
  </si>
  <si>
    <t xml:space="preserve">heartbreak</t>
  </si>
  <si>
    <t xml:space="preserve">비통</t>
  </si>
  <si>
    <r>
      <rPr>
        <sz val="10"/>
        <rFont val="Noto Sans CJK SC"/>
        <family val="2"/>
      </rPr>
      <t xml:space="preserve">비통</t>
    </r>
    <r>
      <rPr>
        <sz val="10"/>
        <rFont val="Arial"/>
        <family val="0"/>
        <charset val="1"/>
      </rPr>
      <t xml:space="preserve">/NNG</t>
    </r>
  </si>
  <si>
    <t xml:space="preserve">grief</t>
  </si>
  <si>
    <t xml:space="preserve">애도</t>
  </si>
  <si>
    <r>
      <rPr>
        <sz val="10"/>
        <rFont val="Noto Sans CJK SC"/>
        <family val="2"/>
      </rPr>
      <t xml:space="preserve">애도</t>
    </r>
    <r>
      <rPr>
        <sz val="10"/>
        <rFont val="Arial"/>
        <family val="0"/>
        <charset val="1"/>
      </rPr>
      <t xml:space="preserve">/NNG</t>
    </r>
  </si>
  <si>
    <t xml:space="preserve">unhappy</t>
  </si>
  <si>
    <t xml:space="preserve">불행</t>
  </si>
  <si>
    <r>
      <rPr>
        <sz val="10"/>
        <rFont val="Noto Sans CJK SC"/>
        <family val="2"/>
      </rPr>
      <t xml:space="preserve">불행</t>
    </r>
    <r>
      <rPr>
        <sz val="10"/>
        <rFont val="Arial"/>
        <family val="0"/>
        <charset val="1"/>
      </rPr>
      <t xml:space="preserve">/NNG</t>
    </r>
  </si>
  <si>
    <t xml:space="preserve">despair</t>
  </si>
  <si>
    <t xml:space="preserve">절망</t>
  </si>
  <si>
    <r>
      <rPr>
        <sz val="10"/>
        <rFont val="Noto Sans CJK SC"/>
        <family val="2"/>
      </rPr>
      <t xml:space="preserve">절망</t>
    </r>
    <r>
      <rPr>
        <sz val="10"/>
        <rFont val="Arial"/>
        <family val="0"/>
        <charset val="1"/>
      </rPr>
      <t xml:space="preserve">/NNG</t>
    </r>
  </si>
  <si>
    <t xml:space="preserve">despondent</t>
  </si>
  <si>
    <t xml:space="preserve">낙담</t>
  </si>
  <si>
    <r>
      <rPr>
        <sz val="10"/>
        <rFont val="Noto Sans CJK SC"/>
        <family val="2"/>
      </rPr>
      <t xml:space="preserve">낙담</t>
    </r>
    <r>
      <rPr>
        <sz val="10"/>
        <rFont val="Arial"/>
        <family val="0"/>
        <charset val="1"/>
      </rPr>
      <t xml:space="preserve">/NNG</t>
    </r>
  </si>
  <si>
    <t xml:space="preserve">oppress</t>
  </si>
  <si>
    <t xml:space="preserve">misery</t>
  </si>
  <si>
    <t xml:space="preserve">painful</t>
  </si>
  <si>
    <t xml:space="preserve">고통스럽다</t>
  </si>
  <si>
    <r>
      <rPr>
        <sz val="10"/>
        <rFont val="Noto Sans CJK SC"/>
        <family val="2"/>
      </rPr>
      <t xml:space="preserve">고통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스럽</t>
    </r>
    <r>
      <rPr>
        <sz val="10"/>
        <rFont val="Arial"/>
        <family val="0"/>
        <charset val="1"/>
      </rPr>
      <t xml:space="preserve">/XSA + 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/EF</t>
    </r>
  </si>
  <si>
    <t xml:space="preserve">woe</t>
  </si>
  <si>
    <t xml:space="preserve">비애</t>
  </si>
  <si>
    <r>
      <rPr>
        <sz val="10"/>
        <rFont val="Noto Sans CJK SC"/>
        <family val="2"/>
      </rPr>
      <t xml:space="preserve">비애</t>
    </r>
    <r>
      <rPr>
        <sz val="10"/>
        <rFont val="Arial"/>
        <family val="0"/>
        <charset val="1"/>
      </rPr>
      <t xml:space="preserve">/NNG</t>
    </r>
  </si>
  <si>
    <t xml:space="preserve">downcast</t>
  </si>
  <si>
    <t xml:space="preserve">풀죽다</t>
  </si>
  <si>
    <r>
      <rPr>
        <sz val="10"/>
        <rFont val="Noto Sans CJK SC"/>
        <family val="2"/>
      </rPr>
      <t xml:space="preserve">풀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죽</t>
    </r>
    <r>
      <rPr>
        <sz val="10"/>
        <rFont val="Arial"/>
        <family val="0"/>
        <charset val="1"/>
      </rPr>
      <t xml:space="preserve">/VV + 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/EF</t>
    </r>
  </si>
  <si>
    <r>
      <rPr>
        <sz val="10"/>
        <rFont val="Noto Sans CJK SC"/>
        <family val="2"/>
      </rPr>
      <t xml:space="preserve">풀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죽</t>
    </r>
    <r>
      <rPr>
        <sz val="10"/>
        <rFont val="Arial"/>
        <family val="0"/>
        <charset val="1"/>
      </rPr>
      <t xml:space="preserve">/VV</t>
    </r>
  </si>
  <si>
    <t xml:space="preserve">pleasureless</t>
  </si>
  <si>
    <t xml:space="preserve">무미건조</t>
  </si>
  <si>
    <r>
      <rPr>
        <sz val="10"/>
        <rFont val="Noto Sans CJK SC"/>
        <family val="2"/>
      </rPr>
      <t xml:space="preserve">무미건조</t>
    </r>
    <r>
      <rPr>
        <sz val="10"/>
        <rFont val="Arial"/>
        <family val="0"/>
        <charset val="1"/>
      </rPr>
      <t xml:space="preserve">/NNG</t>
    </r>
  </si>
  <si>
    <t xml:space="preserve">agony</t>
  </si>
  <si>
    <t xml:space="preserve">고뇌</t>
  </si>
  <si>
    <r>
      <rPr>
        <sz val="10"/>
        <rFont val="Noto Sans CJK SC"/>
        <family val="2"/>
      </rPr>
      <t xml:space="preserve">고뇌</t>
    </r>
    <r>
      <rPr>
        <sz val="10"/>
        <rFont val="Arial"/>
        <family val="0"/>
        <charset val="1"/>
      </rPr>
      <t xml:space="preserve">/NNG</t>
    </r>
  </si>
  <si>
    <t xml:space="preserve">downhearted</t>
  </si>
  <si>
    <t xml:space="preserve">낙심</t>
  </si>
  <si>
    <r>
      <rPr>
        <sz val="10"/>
        <rFont val="Noto Sans CJK SC"/>
        <family val="2"/>
      </rPr>
      <t xml:space="preserve">낙심</t>
    </r>
    <r>
      <rPr>
        <sz val="10"/>
        <rFont val="Arial"/>
        <family val="0"/>
        <charset val="1"/>
      </rPr>
      <t xml:space="preserve">/NNG</t>
    </r>
  </si>
  <si>
    <t xml:space="preserve">joyless</t>
  </si>
  <si>
    <t xml:space="preserve">즐거움 없는</t>
  </si>
  <si>
    <r>
      <rPr>
        <sz val="10"/>
        <rFont val="Noto Sans CJK SC"/>
        <family val="2"/>
      </rPr>
      <t xml:space="preserve">즐거움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없</t>
    </r>
    <r>
      <rPr>
        <sz val="10"/>
        <rFont val="Arial"/>
        <family val="0"/>
        <charset val="1"/>
      </rPr>
      <t xml:space="preserve">/VA + </t>
    </r>
    <r>
      <rPr>
        <sz val="10"/>
        <rFont val="Noto Sans CJK SC"/>
        <family val="2"/>
      </rPr>
      <t xml:space="preserve">는</t>
    </r>
    <r>
      <rPr>
        <sz val="10"/>
        <rFont val="Arial"/>
        <family val="0"/>
        <charset val="1"/>
      </rPr>
      <t xml:space="preserve">/ETM</t>
    </r>
  </si>
  <si>
    <r>
      <rPr>
        <sz val="10"/>
        <rFont val="Noto Sans CJK SC"/>
        <family val="2"/>
      </rPr>
      <t xml:space="preserve">즐거움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없</t>
    </r>
    <r>
      <rPr>
        <sz val="10"/>
        <rFont val="Arial"/>
        <family val="0"/>
        <charset val="1"/>
      </rPr>
      <t xml:space="preserve">/VA</t>
    </r>
  </si>
  <si>
    <t xml:space="preserve">heartache</t>
  </si>
  <si>
    <t xml:space="preserve">마음고생</t>
  </si>
  <si>
    <r>
      <rPr>
        <sz val="10"/>
        <rFont val="Noto Sans CJK SC"/>
        <family val="2"/>
      </rPr>
      <t xml:space="preserve">마음고생</t>
    </r>
    <r>
      <rPr>
        <sz val="10"/>
        <rFont val="Arial"/>
        <family val="0"/>
        <charset val="1"/>
      </rPr>
      <t xml:space="preserve">/NNG</t>
    </r>
  </si>
  <si>
    <t xml:space="preserve">dispirit</t>
  </si>
  <si>
    <t xml:space="preserve">기죽다</t>
  </si>
  <si>
    <r>
      <rPr>
        <sz val="10"/>
        <rFont val="Noto Sans CJK SC"/>
        <family val="2"/>
      </rPr>
      <t xml:space="preserve">기죽</t>
    </r>
    <r>
      <rPr>
        <sz val="10"/>
        <rFont val="Arial"/>
        <family val="0"/>
        <charset val="1"/>
      </rPr>
      <t xml:space="preserve">/VV + 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/EF</t>
    </r>
  </si>
  <si>
    <r>
      <rPr>
        <sz val="10"/>
        <rFont val="Noto Sans CJK SC"/>
        <family val="2"/>
      </rPr>
      <t xml:space="preserve">기죽</t>
    </r>
    <r>
      <rPr>
        <sz val="10"/>
        <rFont val="Arial"/>
        <family val="0"/>
        <charset val="1"/>
      </rPr>
      <t xml:space="preserve">/VV</t>
    </r>
  </si>
  <si>
    <t xml:space="preserve">cheerless</t>
  </si>
  <si>
    <t xml:space="preserve">음울</t>
  </si>
  <si>
    <r>
      <rPr>
        <sz val="10"/>
        <rFont val="Noto Sans CJK SC"/>
        <family val="2"/>
      </rPr>
      <t xml:space="preserve">음울</t>
    </r>
    <r>
      <rPr>
        <sz val="10"/>
        <rFont val="Arial"/>
        <family val="0"/>
        <charset val="1"/>
      </rPr>
      <t xml:space="preserve">/XR</t>
    </r>
  </si>
  <si>
    <t xml:space="preserve">bummed</t>
  </si>
  <si>
    <t xml:space="preserve">실망</t>
  </si>
  <si>
    <r>
      <rPr>
        <sz val="10"/>
        <rFont val="Noto Sans CJK SC"/>
        <family val="2"/>
      </rPr>
      <t xml:space="preserve">실망</t>
    </r>
    <r>
      <rPr>
        <sz val="10"/>
        <rFont val="Arial"/>
        <family val="0"/>
        <charset val="1"/>
      </rPr>
      <t xml:space="preserve">/NNG</t>
    </r>
  </si>
  <si>
    <t xml:space="preserve">sorry</t>
  </si>
  <si>
    <t xml:space="preserve">유감</t>
  </si>
  <si>
    <r>
      <rPr>
        <sz val="10"/>
        <rFont val="Noto Sans CJK SC"/>
        <family val="2"/>
      </rPr>
      <t xml:space="preserve">유감</t>
    </r>
    <r>
      <rPr>
        <sz val="10"/>
        <rFont val="Arial"/>
        <family val="0"/>
        <charset val="1"/>
      </rPr>
      <t xml:space="preserve">/NNG</t>
    </r>
  </si>
  <si>
    <t xml:space="preserve">broken-heart</t>
  </si>
  <si>
    <t xml:space="preserve">상심</t>
  </si>
  <si>
    <r>
      <rPr>
        <sz val="10"/>
        <rFont val="Noto Sans CJK SC"/>
        <family val="2"/>
      </rPr>
      <t xml:space="preserve">상심</t>
    </r>
    <r>
      <rPr>
        <sz val="10"/>
        <rFont val="Arial"/>
        <family val="0"/>
        <charset val="1"/>
      </rPr>
      <t xml:space="preserve">/NNG</t>
    </r>
  </si>
  <si>
    <t xml:space="preserve">heartbroken</t>
  </si>
  <si>
    <t xml:space="preserve">melancholy</t>
  </si>
  <si>
    <t xml:space="preserve">우울</t>
  </si>
  <si>
    <r>
      <rPr>
        <sz val="10"/>
        <rFont val="Noto Sans CJK SC"/>
        <family val="2"/>
      </rPr>
      <t xml:space="preserve">우울</t>
    </r>
    <r>
      <rPr>
        <sz val="10"/>
        <rFont val="Arial"/>
        <family val="0"/>
        <charset val="1"/>
      </rPr>
      <t xml:space="preserve">/NNG</t>
    </r>
  </si>
  <si>
    <t xml:space="preserve">pity</t>
  </si>
  <si>
    <t xml:space="preserve">연민</t>
  </si>
  <si>
    <r>
      <rPr>
        <sz val="10"/>
        <rFont val="Noto Sans CJK SC"/>
        <family val="2"/>
      </rPr>
      <t xml:space="preserve">연민</t>
    </r>
    <r>
      <rPr>
        <sz val="10"/>
        <rFont val="Arial"/>
        <family val="0"/>
        <charset val="1"/>
      </rPr>
      <t xml:space="preserve">/NNG</t>
    </r>
  </si>
  <si>
    <r>
      <rPr>
        <sz val="10"/>
        <rFont val="Arial"/>
        <family val="0"/>
        <charset val="1"/>
      </rPr>
      <t xml:space="preserve">pathos(pity)·ethos(compassion) </t>
    </r>
    <r>
      <rPr>
        <sz val="10"/>
        <rFont val="Noto Sans CJK SC"/>
        <family val="2"/>
      </rPr>
      <t xml:space="preserve">양쪽</t>
    </r>
  </si>
  <si>
    <t xml:space="preserve">mourn</t>
  </si>
  <si>
    <t xml:space="preserve">dismal</t>
  </si>
  <si>
    <t xml:space="preserve">암울</t>
  </si>
  <si>
    <r>
      <rPr>
        <sz val="10"/>
        <rFont val="Noto Sans CJK SC"/>
        <family val="2"/>
      </rPr>
      <t xml:space="preserve">암울</t>
    </r>
    <r>
      <rPr>
        <sz val="10"/>
        <rFont val="Arial"/>
        <family val="0"/>
        <charset val="1"/>
      </rPr>
      <t xml:space="preserve">/NNG</t>
    </r>
  </si>
  <si>
    <t xml:space="preserve">dreary</t>
  </si>
  <si>
    <t xml:space="preserve">침울</t>
  </si>
  <si>
    <r>
      <rPr>
        <sz val="10"/>
        <rFont val="Noto Sans CJK SC"/>
        <family val="2"/>
      </rPr>
      <t xml:space="preserve">침울</t>
    </r>
    <r>
      <rPr>
        <sz val="10"/>
        <rFont val="Arial"/>
        <family val="0"/>
        <charset val="1"/>
      </rPr>
      <t xml:space="preserve">/XR</t>
    </r>
  </si>
  <si>
    <t xml:space="preserve">sombre</t>
  </si>
  <si>
    <t xml:space="preserve">침통</t>
  </si>
  <si>
    <r>
      <rPr>
        <sz val="10"/>
        <rFont val="Noto Sans CJK SC"/>
        <family val="2"/>
      </rPr>
      <t xml:space="preserve">침통</t>
    </r>
    <r>
      <rPr>
        <sz val="10"/>
        <rFont val="Arial"/>
        <family val="0"/>
        <charset val="1"/>
      </rPr>
      <t xml:space="preserve">/NNG</t>
    </r>
  </si>
  <si>
    <t xml:space="preserve">deject</t>
  </si>
  <si>
    <t xml:space="preserve">depress</t>
  </si>
  <si>
    <t xml:space="preserve">침체</t>
  </si>
  <si>
    <r>
      <rPr>
        <sz val="10"/>
        <rFont val="Noto Sans CJK SC"/>
        <family val="2"/>
      </rPr>
      <t xml:space="preserve">침체</t>
    </r>
    <r>
      <rPr>
        <sz val="10"/>
        <rFont val="Arial"/>
        <family val="0"/>
        <charset val="1"/>
      </rPr>
      <t xml:space="preserve">/NNG</t>
    </r>
  </si>
  <si>
    <r>
      <rPr>
        <sz val="10"/>
        <rFont val="Arial"/>
        <family val="0"/>
        <charset val="1"/>
      </rPr>
      <t xml:space="preserve">depress. '</t>
    </r>
    <r>
      <rPr>
        <sz val="10"/>
        <rFont val="Noto Sans CJK SC"/>
        <family val="2"/>
      </rPr>
      <t xml:space="preserve">경기 침체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는 경제 용어</t>
    </r>
    <r>
      <rPr>
        <sz val="10"/>
        <rFont val="Arial"/>
        <family val="0"/>
        <charset val="1"/>
      </rPr>
      <t xml:space="preserve">(logos</t>
    </r>
    <r>
      <rPr>
        <sz val="10"/>
        <rFont val="Noto Sans CJK SC"/>
        <family val="2"/>
      </rPr>
      <t xml:space="preserve">성</t>
    </r>
    <r>
      <rPr>
        <sz val="10"/>
        <rFont val="Arial"/>
        <family val="0"/>
        <charset val="1"/>
      </rPr>
      <t xml:space="preserve">)</t>
    </r>
  </si>
  <si>
    <t xml:space="preserve">discourage</t>
  </si>
  <si>
    <t xml:space="preserve">좌절</t>
  </si>
  <si>
    <r>
      <rPr>
        <sz val="10"/>
        <rFont val="Noto Sans CJK SC"/>
        <family val="2"/>
      </rPr>
      <t xml:space="preserve">좌절</t>
    </r>
    <r>
      <rPr>
        <sz val="10"/>
        <rFont val="Arial"/>
        <family val="0"/>
        <charset val="1"/>
      </rPr>
      <t xml:space="preserve">/NNG</t>
    </r>
  </si>
  <si>
    <t xml:space="preserve">lament</t>
  </si>
  <si>
    <t xml:space="preserve">한탄</t>
  </si>
  <si>
    <r>
      <rPr>
        <sz val="10"/>
        <rFont val="Noto Sans CJK SC"/>
        <family val="2"/>
      </rPr>
      <t xml:space="preserve">한탄</t>
    </r>
    <r>
      <rPr>
        <sz val="10"/>
        <rFont val="Arial"/>
        <family val="0"/>
        <charset val="1"/>
      </rPr>
      <t xml:space="preserve">/NNG</t>
    </r>
  </si>
  <si>
    <t xml:space="preserve">dishearten</t>
  </si>
  <si>
    <t xml:space="preserve">의욕 상실</t>
  </si>
  <si>
    <r>
      <rPr>
        <sz val="10"/>
        <rFont val="Noto Sans CJK SC"/>
        <family val="2"/>
      </rPr>
      <t xml:space="preserve">의욕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상실</t>
    </r>
    <r>
      <rPr>
        <sz val="10"/>
        <rFont val="Arial"/>
        <family val="0"/>
        <charset val="1"/>
      </rPr>
      <t xml:space="preserve">/NNG</t>
    </r>
  </si>
  <si>
    <t xml:space="preserve">deplorable</t>
  </si>
  <si>
    <t xml:space="preserve">개탄</t>
  </si>
  <si>
    <r>
      <rPr>
        <sz val="10"/>
        <rFont val="Noto Sans CJK SC"/>
        <family val="2"/>
      </rPr>
      <t xml:space="preserve">개탄</t>
    </r>
    <r>
      <rPr>
        <sz val="10"/>
        <rFont val="Arial"/>
        <family val="0"/>
        <charset val="1"/>
      </rPr>
      <t xml:space="preserve">/NNG</t>
    </r>
  </si>
  <si>
    <t xml:space="preserve">sorrow</t>
  </si>
  <si>
    <t xml:space="preserve">grieve</t>
  </si>
  <si>
    <t xml:space="preserve">비탄</t>
  </si>
  <si>
    <r>
      <rPr>
        <sz val="10"/>
        <rFont val="Noto Sans CJK SC"/>
        <family val="2"/>
      </rPr>
      <t xml:space="preserve">비탄</t>
    </r>
    <r>
      <rPr>
        <sz val="10"/>
        <rFont val="Arial"/>
        <family val="0"/>
        <charset val="1"/>
      </rPr>
      <t xml:space="preserve">/NNG</t>
    </r>
  </si>
  <si>
    <t xml:space="preserve">uncheerful</t>
  </si>
  <si>
    <t xml:space="preserve">regret</t>
  </si>
  <si>
    <t xml:space="preserve">후회</t>
  </si>
  <si>
    <r>
      <rPr>
        <sz val="10"/>
        <rFont val="Noto Sans CJK SC"/>
        <family val="2"/>
      </rPr>
      <t xml:space="preserve">후회</t>
    </r>
    <r>
      <rPr>
        <sz val="10"/>
        <rFont val="Arial"/>
        <family val="0"/>
        <charset val="1"/>
      </rPr>
      <t xml:space="preserve">/NNG</t>
    </r>
  </si>
  <si>
    <t xml:space="preserve">아쉬움</t>
  </si>
  <si>
    <r>
      <rPr>
        <sz val="10"/>
        <rFont val="Noto Sans CJK SC"/>
        <family val="2"/>
      </rPr>
      <t xml:space="preserve">아쉬움</t>
    </r>
    <r>
      <rPr>
        <sz val="10"/>
        <rFont val="Arial"/>
        <family val="0"/>
        <charset val="1"/>
      </rPr>
      <t xml:space="preserve">/NNG</t>
    </r>
  </si>
  <si>
    <t xml:space="preserve">gloom</t>
  </si>
  <si>
    <t xml:space="preserve">bleak</t>
  </si>
  <si>
    <t xml:space="preserve">암담</t>
  </si>
  <si>
    <r>
      <rPr>
        <sz val="10"/>
        <rFont val="Noto Sans CJK SC"/>
        <family val="2"/>
      </rPr>
      <t xml:space="preserve">암담</t>
    </r>
    <r>
      <rPr>
        <sz val="10"/>
        <rFont val="Arial"/>
        <family val="0"/>
        <charset val="1"/>
      </rPr>
      <t xml:space="preserve">/XR</t>
    </r>
  </si>
  <si>
    <t xml:space="preserve">fear</t>
  </si>
  <si>
    <t xml:space="preserve">두려움</t>
  </si>
  <si>
    <r>
      <rPr>
        <sz val="10"/>
        <rFont val="Noto Sans CJK SC"/>
        <family val="2"/>
      </rPr>
      <t xml:space="preserve">두려움</t>
    </r>
    <r>
      <rPr>
        <sz val="10"/>
        <rFont val="Arial"/>
        <family val="0"/>
        <charset val="1"/>
      </rPr>
      <t xml:space="preserve">/NNG</t>
    </r>
  </si>
  <si>
    <t xml:space="preserve">dread</t>
  </si>
  <si>
    <t xml:space="preserve">공포</t>
  </si>
  <si>
    <r>
      <rPr>
        <sz val="10"/>
        <rFont val="Noto Sans CJK SC"/>
        <family val="2"/>
      </rPr>
      <t xml:space="preserve">공포</t>
    </r>
    <r>
      <rPr>
        <sz val="10"/>
        <rFont val="Arial"/>
        <family val="0"/>
        <charset val="1"/>
      </rPr>
      <t xml:space="preserve">/NNG</t>
    </r>
  </si>
  <si>
    <t xml:space="preserve">nightmare</t>
  </si>
  <si>
    <t xml:space="preserve">악몽</t>
  </si>
  <si>
    <r>
      <rPr>
        <sz val="10"/>
        <rFont val="Noto Sans CJK SC"/>
        <family val="2"/>
      </rPr>
      <t xml:space="preserve">악몽</t>
    </r>
    <r>
      <rPr>
        <sz val="10"/>
        <rFont val="Arial"/>
        <family val="0"/>
        <charset val="1"/>
      </rPr>
      <t xml:space="preserve">/NNG</t>
    </r>
  </si>
  <si>
    <t xml:space="preserve">hideous</t>
  </si>
  <si>
    <t xml:space="preserve">끔찍</t>
  </si>
  <si>
    <r>
      <rPr>
        <sz val="10"/>
        <rFont val="Noto Sans CJK SC"/>
        <family val="2"/>
      </rPr>
      <t xml:space="preserve">끔찍</t>
    </r>
    <r>
      <rPr>
        <sz val="10"/>
        <rFont val="Arial"/>
        <family val="0"/>
        <charset val="1"/>
      </rPr>
      <t xml:space="preserve">/XR</t>
    </r>
  </si>
  <si>
    <t xml:space="preserve">fright</t>
  </si>
  <si>
    <t xml:space="preserve">겁</t>
  </si>
  <si>
    <r>
      <rPr>
        <sz val="10"/>
        <rFont val="Noto Sans CJK SC"/>
        <family val="2"/>
      </rPr>
      <t xml:space="preserve">겁</t>
    </r>
    <r>
      <rPr>
        <sz val="10"/>
        <rFont val="Arial"/>
        <family val="0"/>
        <charset val="1"/>
      </rPr>
      <t xml:space="preserve">/NNG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</si>
  <si>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음절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과잉매칭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차원내 중복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</si>
  <si>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음절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사업계획서 빈도 낮음</t>
    </r>
  </si>
  <si>
    <t xml:space="preserve">phobia</t>
  </si>
  <si>
    <t xml:space="preserve">공포증</t>
  </si>
  <si>
    <r>
      <rPr>
        <sz val="10"/>
        <rFont val="Noto Sans CJK SC"/>
        <family val="2"/>
      </rPr>
      <t xml:space="preserve">공포증</t>
    </r>
    <r>
      <rPr>
        <sz val="10"/>
        <rFont val="Arial"/>
        <family val="0"/>
        <charset val="1"/>
      </rPr>
      <t xml:space="preserve">/NNG</t>
    </r>
  </si>
  <si>
    <t xml:space="preserve">ghastly</t>
  </si>
  <si>
    <t xml:space="preserve">소름</t>
  </si>
  <si>
    <r>
      <rPr>
        <sz val="10"/>
        <rFont val="Noto Sans CJK SC"/>
        <family val="2"/>
      </rPr>
      <t xml:space="preserve">소름</t>
    </r>
    <r>
      <rPr>
        <sz val="10"/>
        <rFont val="Arial"/>
        <family val="0"/>
        <charset val="1"/>
      </rPr>
      <t xml:space="preserve">/NNG</t>
    </r>
  </si>
  <si>
    <t xml:space="preserve">terror</t>
  </si>
  <si>
    <t xml:space="preserve">afraid</t>
  </si>
  <si>
    <t xml:space="preserve">두렵다</t>
  </si>
  <si>
    <r>
      <rPr>
        <sz val="10"/>
        <rFont val="Noto Sans CJK SC"/>
        <family val="2"/>
      </rPr>
      <t xml:space="preserve">두렵</t>
    </r>
    <r>
      <rPr>
        <sz val="10"/>
        <rFont val="Arial"/>
        <family val="0"/>
        <charset val="1"/>
      </rPr>
      <t xml:space="preserve">/VA + 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/EF</t>
    </r>
  </si>
  <si>
    <r>
      <rPr>
        <sz val="10"/>
        <rFont val="Noto Sans CJK SC"/>
        <family val="2"/>
      </rPr>
      <t xml:space="preserve">두렵</t>
    </r>
    <r>
      <rPr>
        <sz val="10"/>
        <rFont val="Arial"/>
        <family val="0"/>
        <charset val="1"/>
      </rPr>
      <t xml:space="preserve">/VA</t>
    </r>
  </si>
  <si>
    <t xml:space="preserve">eerie</t>
  </si>
  <si>
    <t xml:space="preserve">으스스</t>
  </si>
  <si>
    <r>
      <rPr>
        <sz val="10"/>
        <rFont val="Noto Sans CJK SC"/>
        <family val="2"/>
      </rPr>
      <t xml:space="preserve">으스스</t>
    </r>
    <r>
      <rPr>
        <sz val="10"/>
        <rFont val="Arial"/>
        <family val="0"/>
        <charset val="1"/>
      </rPr>
      <t xml:space="preserve">/MAG</t>
    </r>
  </si>
  <si>
    <t xml:space="preserve">horror</t>
  </si>
  <si>
    <t xml:space="preserve">scare</t>
  </si>
  <si>
    <t xml:space="preserve">grisly</t>
  </si>
  <si>
    <t xml:space="preserve">섬뜩</t>
  </si>
  <si>
    <r>
      <rPr>
        <sz val="10"/>
        <rFont val="Noto Sans CJK SC"/>
        <family val="2"/>
      </rPr>
      <t xml:space="preserve">섬뜩</t>
    </r>
    <r>
      <rPr>
        <sz val="10"/>
        <rFont val="Arial"/>
        <family val="0"/>
        <charset val="1"/>
      </rPr>
      <t xml:space="preserve">/MAG</t>
    </r>
  </si>
  <si>
    <t xml:space="preserve">panic</t>
  </si>
  <si>
    <t xml:space="preserve">공황</t>
  </si>
  <si>
    <r>
      <rPr>
        <sz val="10"/>
        <rFont val="Noto Sans CJK SC"/>
        <family val="2"/>
      </rPr>
      <t xml:space="preserve">공황</t>
    </r>
    <r>
      <rPr>
        <sz val="10"/>
        <rFont val="Arial"/>
        <family val="0"/>
        <charset val="1"/>
      </rPr>
      <t xml:space="preserve">/NNG</t>
    </r>
  </si>
  <si>
    <t xml:space="preserve">suspect</t>
  </si>
  <si>
    <t xml:space="preserve">의심</t>
  </si>
  <si>
    <r>
      <rPr>
        <sz val="10"/>
        <rFont val="Noto Sans CJK SC"/>
        <family val="2"/>
      </rPr>
      <t xml:space="preserve">의심</t>
    </r>
    <r>
      <rPr>
        <sz val="10"/>
        <rFont val="Arial"/>
        <family val="0"/>
        <charset val="1"/>
      </rPr>
      <t xml:space="preserve">/NNG</t>
    </r>
  </si>
  <si>
    <t xml:space="preserve">gruesome</t>
  </si>
  <si>
    <t xml:space="preserve">참혹</t>
  </si>
  <si>
    <r>
      <rPr>
        <sz val="10"/>
        <rFont val="Noto Sans CJK SC"/>
        <family val="2"/>
      </rPr>
      <t xml:space="preserve">참혹</t>
    </r>
    <r>
      <rPr>
        <sz val="10"/>
        <rFont val="Arial"/>
        <family val="0"/>
        <charset val="1"/>
      </rPr>
      <t xml:space="preserve">/NNG</t>
    </r>
  </si>
  <si>
    <t xml:space="preserve">alarm</t>
  </si>
  <si>
    <t xml:space="preserve">경보</t>
  </si>
  <si>
    <r>
      <rPr>
        <sz val="10"/>
        <rFont val="Noto Sans CJK SC"/>
        <family val="2"/>
      </rPr>
      <t xml:space="preserve">경보</t>
    </r>
    <r>
      <rPr>
        <sz val="10"/>
        <rFont val="Arial"/>
        <family val="0"/>
        <charset val="1"/>
      </rPr>
      <t xml:space="preserve">/NNG</t>
    </r>
  </si>
  <si>
    <t xml:space="preserve">경각심</t>
  </si>
  <si>
    <r>
      <rPr>
        <sz val="10"/>
        <rFont val="Noto Sans CJK SC"/>
        <family val="2"/>
      </rPr>
      <t xml:space="preserve">경각심</t>
    </r>
    <r>
      <rPr>
        <sz val="10"/>
        <rFont val="Arial"/>
        <family val="0"/>
        <charset val="1"/>
      </rPr>
      <t xml:space="preserve">/NNG</t>
    </r>
  </si>
  <si>
    <t xml:space="preserve">forebode</t>
  </si>
  <si>
    <t xml:space="preserve">불길</t>
  </si>
  <si>
    <r>
      <rPr>
        <sz val="10"/>
        <rFont val="Noto Sans CJK SC"/>
        <family val="2"/>
      </rPr>
      <t xml:space="preserve">불길</t>
    </r>
    <r>
      <rPr>
        <sz val="10"/>
        <rFont val="Arial"/>
        <family val="0"/>
        <charset val="1"/>
      </rPr>
      <t xml:space="preserve">/NNG</t>
    </r>
  </si>
  <si>
    <t xml:space="preserve">unspeakable</t>
  </si>
  <si>
    <t xml:space="preserve">형언</t>
  </si>
  <si>
    <r>
      <rPr>
        <sz val="10"/>
        <rFont val="Noto Sans CJK SC"/>
        <family val="2"/>
      </rPr>
      <t xml:space="preserve">형언</t>
    </r>
    <r>
      <rPr>
        <sz val="10"/>
        <rFont val="Arial"/>
        <family val="0"/>
        <charset val="1"/>
      </rPr>
      <t xml:space="preserve">/NNG</t>
    </r>
  </si>
  <si>
    <t xml:space="preserve">trepidation</t>
  </si>
  <si>
    <t xml:space="preserve">불안</t>
  </si>
  <si>
    <r>
      <rPr>
        <sz val="10"/>
        <rFont val="Noto Sans CJK SC"/>
        <family val="2"/>
      </rPr>
      <t xml:space="preserve">불안</t>
    </r>
    <r>
      <rPr>
        <sz val="10"/>
        <rFont val="Arial"/>
        <family val="0"/>
        <charset val="1"/>
      </rPr>
      <t xml:space="preserve">/NNG</t>
    </r>
  </si>
  <si>
    <t xml:space="preserve">misgiving</t>
  </si>
  <si>
    <t xml:space="preserve">의구심</t>
  </si>
  <si>
    <r>
      <rPr>
        <sz val="10"/>
        <rFont val="Noto Sans CJK SC"/>
        <family val="2"/>
      </rPr>
      <t xml:space="preserve">의구심</t>
    </r>
    <r>
      <rPr>
        <sz val="10"/>
        <rFont val="Arial"/>
        <family val="0"/>
        <charset val="1"/>
      </rPr>
      <t xml:space="preserve">/NNG</t>
    </r>
  </si>
  <si>
    <t xml:space="preserve">shy</t>
  </si>
  <si>
    <t xml:space="preserve">수줍다</t>
  </si>
  <si>
    <r>
      <rPr>
        <sz val="10"/>
        <rFont val="Noto Sans CJK SC"/>
        <family val="2"/>
      </rPr>
      <t xml:space="preserve">수줍</t>
    </r>
    <r>
      <rPr>
        <sz val="10"/>
        <rFont val="Arial"/>
        <family val="0"/>
        <charset val="1"/>
      </rPr>
      <t xml:space="preserve">/VA + 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/EF</t>
    </r>
  </si>
  <si>
    <r>
      <rPr>
        <sz val="10"/>
        <rFont val="Noto Sans CJK SC"/>
        <family val="2"/>
      </rPr>
      <t xml:space="preserve">수줍</t>
    </r>
    <r>
      <rPr>
        <sz val="10"/>
        <rFont val="Arial"/>
        <family val="0"/>
        <charset val="1"/>
      </rPr>
      <t xml:space="preserve">/VA</t>
    </r>
  </si>
  <si>
    <t xml:space="preserve">terrify</t>
  </si>
  <si>
    <t xml:space="preserve">겁주다</t>
  </si>
  <si>
    <r>
      <rPr>
        <sz val="10"/>
        <rFont val="Noto Sans CJK SC"/>
        <family val="2"/>
      </rPr>
      <t xml:space="preserve">겁주</t>
    </r>
    <r>
      <rPr>
        <sz val="10"/>
        <rFont val="Arial"/>
        <family val="0"/>
        <charset val="1"/>
      </rPr>
      <t xml:space="preserve">/VV + 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/EC</t>
    </r>
  </si>
  <si>
    <r>
      <rPr>
        <sz val="10"/>
        <rFont val="Noto Sans CJK SC"/>
        <family val="2"/>
      </rPr>
      <t xml:space="preserve">겁주</t>
    </r>
    <r>
      <rPr>
        <sz val="10"/>
        <rFont val="Arial"/>
        <family val="0"/>
        <charset val="1"/>
      </rPr>
      <t xml:space="preserve">/VV</t>
    </r>
  </si>
  <si>
    <t xml:space="preserve">cower</t>
  </si>
  <si>
    <t xml:space="preserve">움츠러들다</t>
  </si>
  <si>
    <r>
      <rPr>
        <sz val="10"/>
        <rFont val="Noto Sans CJK SC"/>
        <family val="2"/>
      </rPr>
      <t xml:space="preserve">움츠러들</t>
    </r>
    <r>
      <rPr>
        <sz val="10"/>
        <rFont val="Arial"/>
        <family val="0"/>
        <charset val="1"/>
      </rPr>
      <t xml:space="preserve">/VV + 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/EF</t>
    </r>
  </si>
  <si>
    <r>
      <rPr>
        <sz val="10"/>
        <rFont val="Noto Sans CJK SC"/>
        <family val="2"/>
      </rPr>
      <t xml:space="preserve">움츠러들</t>
    </r>
    <r>
      <rPr>
        <sz val="10"/>
        <rFont val="Arial"/>
        <family val="0"/>
        <charset val="1"/>
      </rPr>
      <t xml:space="preserve">/VV</t>
    </r>
  </si>
  <si>
    <t xml:space="preserve">concern</t>
  </si>
  <si>
    <t xml:space="preserve">우려</t>
  </si>
  <si>
    <r>
      <rPr>
        <sz val="10"/>
        <rFont val="Noto Sans CJK SC"/>
        <family val="2"/>
      </rPr>
      <t xml:space="preserve">우려</t>
    </r>
    <r>
      <rPr>
        <sz val="10"/>
        <rFont val="Arial"/>
        <family val="0"/>
        <charset val="1"/>
      </rPr>
      <t xml:space="preserve">/NNG</t>
    </r>
  </si>
  <si>
    <t xml:space="preserve">mistrust</t>
  </si>
  <si>
    <t xml:space="preserve">불신</t>
  </si>
  <si>
    <r>
      <rPr>
        <sz val="10"/>
        <rFont val="Noto Sans CJK SC"/>
        <family val="2"/>
      </rPr>
      <t xml:space="preserve">불신</t>
    </r>
    <r>
      <rPr>
        <sz val="10"/>
        <rFont val="Arial"/>
        <family val="0"/>
        <charset val="1"/>
      </rPr>
      <t xml:space="preserve">/NNG</t>
    </r>
  </si>
  <si>
    <t xml:space="preserve">apprehensive</t>
  </si>
  <si>
    <t xml:space="preserve">염려</t>
  </si>
  <si>
    <r>
      <rPr>
        <sz val="10"/>
        <rFont val="Noto Sans CJK SC"/>
        <family val="2"/>
      </rPr>
      <t xml:space="preserve">염려</t>
    </r>
    <r>
      <rPr>
        <sz val="10"/>
        <rFont val="Arial"/>
        <family val="0"/>
        <charset val="1"/>
      </rPr>
      <t xml:space="preserve">/NNG</t>
    </r>
  </si>
  <si>
    <t xml:space="preserve">distrust</t>
  </si>
  <si>
    <t xml:space="preserve">worry</t>
  </si>
  <si>
    <t xml:space="preserve">걱정</t>
  </si>
  <si>
    <r>
      <rPr>
        <sz val="10"/>
        <rFont val="Noto Sans CJK SC"/>
        <family val="2"/>
      </rPr>
      <t xml:space="preserve">걱정</t>
    </r>
    <r>
      <rPr>
        <sz val="10"/>
        <rFont val="Arial"/>
        <family val="0"/>
        <charset val="1"/>
      </rPr>
      <t xml:space="preserve">/NNG</t>
    </r>
  </si>
  <si>
    <t xml:space="preserve">qualm</t>
  </si>
  <si>
    <t xml:space="preserve">거리낌</t>
  </si>
  <si>
    <r>
      <rPr>
        <sz val="10"/>
        <rFont val="Noto Sans CJK SC"/>
        <family val="2"/>
      </rPr>
      <t xml:space="preserve">거리낌</t>
    </r>
    <r>
      <rPr>
        <sz val="10"/>
        <rFont val="Arial"/>
        <family val="0"/>
        <charset val="1"/>
      </rPr>
      <t xml:space="preserve">/NNG</t>
    </r>
  </si>
  <si>
    <t xml:space="preserve">uneasy</t>
  </si>
  <si>
    <t xml:space="preserve">nervous</t>
  </si>
  <si>
    <t xml:space="preserve">초조</t>
  </si>
  <si>
    <r>
      <rPr>
        <sz val="10"/>
        <rFont val="Noto Sans CJK SC"/>
        <family val="2"/>
      </rPr>
      <t xml:space="preserve">초조</t>
    </r>
    <r>
      <rPr>
        <sz val="10"/>
        <rFont val="Arial"/>
        <family val="0"/>
        <charset val="1"/>
      </rPr>
      <t xml:space="preserve">/NNG</t>
    </r>
  </si>
  <si>
    <t xml:space="preserve">angst</t>
  </si>
  <si>
    <t xml:space="preserve">tremble</t>
  </si>
  <si>
    <t xml:space="preserve">떨리다</t>
  </si>
  <si>
    <r>
      <rPr>
        <sz val="10"/>
        <rFont val="Noto Sans CJK SC"/>
        <family val="2"/>
      </rPr>
      <t xml:space="preserve">떨리</t>
    </r>
    <r>
      <rPr>
        <sz val="10"/>
        <rFont val="Arial"/>
        <family val="0"/>
        <charset val="1"/>
      </rPr>
      <t xml:space="preserve">/VV + 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/EF</t>
    </r>
  </si>
  <si>
    <r>
      <rPr>
        <sz val="10"/>
        <rFont val="Noto Sans CJK SC"/>
        <family val="2"/>
      </rPr>
      <t xml:space="preserve">떨리</t>
    </r>
    <r>
      <rPr>
        <sz val="10"/>
        <rFont val="Arial"/>
        <family val="0"/>
        <charset val="1"/>
      </rPr>
      <t xml:space="preserve">/VV</t>
    </r>
  </si>
  <si>
    <t xml:space="preserve">appal</t>
  </si>
  <si>
    <t xml:space="preserve">경악</t>
  </si>
  <si>
    <r>
      <rPr>
        <sz val="10"/>
        <rFont val="Noto Sans CJK SC"/>
        <family val="2"/>
      </rPr>
      <t xml:space="preserve">경악</t>
    </r>
    <r>
      <rPr>
        <sz val="10"/>
        <rFont val="Arial"/>
        <family val="0"/>
        <charset val="1"/>
      </rPr>
      <t xml:space="preserve">/NNG</t>
    </r>
  </si>
  <si>
    <t xml:space="preserve">anxious</t>
  </si>
  <si>
    <t xml:space="preserve">overanxious</t>
  </si>
  <si>
    <t xml:space="preserve">노심초사</t>
  </si>
  <si>
    <r>
      <rPr>
        <sz val="10"/>
        <rFont val="Noto Sans CJK SC"/>
        <family val="2"/>
      </rPr>
      <t xml:space="preserve">노심초사</t>
    </r>
    <r>
      <rPr>
        <sz val="10"/>
        <rFont val="Arial"/>
        <family val="0"/>
        <charset val="1"/>
      </rPr>
      <t xml:space="preserve">/NNG</t>
    </r>
  </si>
  <si>
    <t xml:space="preserve">anguish</t>
  </si>
  <si>
    <t xml:space="preserve">terrible</t>
  </si>
  <si>
    <t xml:space="preserve">timid</t>
  </si>
  <si>
    <t xml:space="preserve">소심</t>
  </si>
  <si>
    <r>
      <rPr>
        <sz val="10"/>
        <rFont val="Noto Sans CJK SC"/>
        <family val="2"/>
      </rPr>
      <t xml:space="preserve">소심</t>
    </r>
    <r>
      <rPr>
        <sz val="10"/>
        <rFont val="Arial"/>
        <family val="0"/>
        <charset val="1"/>
      </rPr>
      <t xml:space="preserve">/NNG</t>
    </r>
  </si>
  <si>
    <t xml:space="preserve">anxiety</t>
  </si>
  <si>
    <t xml:space="preserve">grim</t>
  </si>
  <si>
    <t xml:space="preserve">dire</t>
  </si>
  <si>
    <t xml:space="preserve">절박</t>
  </si>
  <si>
    <r>
      <rPr>
        <sz val="10"/>
        <rFont val="Noto Sans CJK SC"/>
        <family val="2"/>
      </rPr>
      <t xml:space="preserve">절박</t>
    </r>
    <r>
      <rPr>
        <sz val="10"/>
        <rFont val="Arial"/>
        <family val="0"/>
        <charset val="1"/>
      </rPr>
      <t xml:space="preserve">/XR</t>
    </r>
  </si>
  <si>
    <t xml:space="preserve">faint-hearted</t>
  </si>
  <si>
    <t xml:space="preserve">겁많다</t>
  </si>
  <si>
    <r>
      <rPr>
        <sz val="10"/>
        <rFont val="Noto Sans CJK SC"/>
        <family val="2"/>
      </rPr>
      <t xml:space="preserve">겁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많</t>
    </r>
    <r>
      <rPr>
        <sz val="10"/>
        <rFont val="Arial"/>
        <family val="0"/>
        <charset val="1"/>
      </rPr>
      <t xml:space="preserve">/VA + 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/EF</t>
    </r>
  </si>
  <si>
    <r>
      <rPr>
        <sz val="10"/>
        <rFont val="Noto Sans CJK SC"/>
        <family val="2"/>
      </rPr>
      <t xml:space="preserve">겁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많</t>
    </r>
    <r>
      <rPr>
        <sz val="10"/>
        <rFont val="Arial"/>
        <family val="0"/>
        <charset val="1"/>
      </rPr>
      <t xml:space="preserve">/VA</t>
    </r>
  </si>
  <si>
    <t xml:space="preserve">coward</t>
  </si>
  <si>
    <t xml:space="preserve">비겁</t>
  </si>
  <si>
    <r>
      <rPr>
        <sz val="10"/>
        <rFont val="Noto Sans CJK SC"/>
        <family val="2"/>
      </rPr>
      <t xml:space="preserve">비겁</t>
    </r>
    <r>
      <rPr>
        <sz val="10"/>
        <rFont val="Arial"/>
        <family val="0"/>
        <charset val="1"/>
      </rPr>
      <t xml:space="preserve">/XR</t>
    </r>
  </si>
  <si>
    <t xml:space="preserve">cautious</t>
  </si>
  <si>
    <t xml:space="preserve">distress</t>
  </si>
  <si>
    <t xml:space="preserve">고충</t>
  </si>
  <si>
    <r>
      <rPr>
        <sz val="10"/>
        <rFont val="Noto Sans CJK SC"/>
        <family val="2"/>
      </rPr>
      <t xml:space="preserve">고충</t>
    </r>
    <r>
      <rPr>
        <sz val="10"/>
        <rFont val="Arial"/>
        <family val="0"/>
        <charset val="1"/>
      </rPr>
      <t xml:space="preserve">/NNG</t>
    </r>
  </si>
  <si>
    <t xml:space="preserve">intimidate</t>
  </si>
  <si>
    <t xml:space="preserve">위협</t>
  </si>
  <si>
    <r>
      <rPr>
        <sz val="10"/>
        <rFont val="Noto Sans CJK SC"/>
        <family val="2"/>
      </rPr>
      <t xml:space="preserve">위협</t>
    </r>
    <r>
      <rPr>
        <sz val="10"/>
        <rFont val="Arial"/>
        <family val="0"/>
        <charset val="1"/>
      </rPr>
      <t xml:space="preserve">/NNG</t>
    </r>
  </si>
  <si>
    <t xml:space="preserve">hesitate</t>
  </si>
  <si>
    <t xml:space="preserve">망설이다</t>
  </si>
  <si>
    <r>
      <rPr>
        <sz val="10"/>
        <rFont val="Noto Sans CJK SC"/>
        <family val="2"/>
      </rPr>
      <t xml:space="preserve">망설이</t>
    </r>
    <r>
      <rPr>
        <sz val="10"/>
        <rFont val="Arial"/>
        <family val="0"/>
        <charset val="1"/>
      </rPr>
      <t xml:space="preserve">/VV + 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/EC</t>
    </r>
  </si>
  <si>
    <r>
      <rPr>
        <sz val="10"/>
        <rFont val="Noto Sans CJK SC"/>
        <family val="2"/>
      </rPr>
      <t xml:space="preserve">망설이</t>
    </r>
    <r>
      <rPr>
        <sz val="10"/>
        <rFont val="Arial"/>
        <family val="0"/>
        <charset val="1"/>
      </rPr>
      <t xml:space="preserve">/VV</t>
    </r>
  </si>
  <si>
    <t xml:space="preserve">harrow</t>
  </si>
  <si>
    <t xml:space="preserve">괴롭히다</t>
  </si>
  <si>
    <r>
      <rPr>
        <sz val="10"/>
        <rFont val="Noto Sans CJK SC"/>
        <family val="2"/>
      </rPr>
      <t xml:space="preserve">괴롭히</t>
    </r>
    <r>
      <rPr>
        <sz val="10"/>
        <rFont val="Arial"/>
        <family val="0"/>
        <charset val="1"/>
      </rPr>
      <t xml:space="preserve">/VV + 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/EC</t>
    </r>
  </si>
  <si>
    <r>
      <rPr>
        <sz val="10"/>
        <rFont val="Noto Sans CJK SC"/>
        <family val="2"/>
      </rPr>
      <t xml:space="preserve">괴롭히</t>
    </r>
    <r>
      <rPr>
        <sz val="10"/>
        <rFont val="Arial"/>
        <family val="0"/>
        <charset val="1"/>
      </rPr>
      <t xml:space="preserve">/VV</t>
    </r>
  </si>
  <si>
    <t xml:space="preserve">reluctant</t>
  </si>
  <si>
    <t xml:space="preserve">꺼리다</t>
  </si>
  <si>
    <r>
      <rPr>
        <sz val="10"/>
        <rFont val="Noto Sans CJK SC"/>
        <family val="2"/>
      </rPr>
      <t xml:space="preserve">꺼리</t>
    </r>
    <r>
      <rPr>
        <sz val="10"/>
        <rFont val="Arial"/>
        <family val="0"/>
        <charset val="1"/>
      </rPr>
      <t xml:space="preserve">/VV + 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/EF</t>
    </r>
  </si>
  <si>
    <r>
      <rPr>
        <sz val="10"/>
        <rFont val="Noto Sans CJK SC"/>
        <family val="2"/>
      </rPr>
      <t xml:space="preserve">꺼리</t>
    </r>
    <r>
      <rPr>
        <sz val="10"/>
        <rFont val="Arial"/>
        <family val="0"/>
        <charset val="1"/>
      </rPr>
      <t xml:space="preserve">/VV</t>
    </r>
  </si>
  <si>
    <t xml:space="preserve">awful</t>
  </si>
  <si>
    <t xml:space="preserve">지독</t>
  </si>
  <si>
    <r>
      <rPr>
        <sz val="10"/>
        <rFont val="Noto Sans CJK SC"/>
        <family val="2"/>
      </rPr>
      <t xml:space="preserve">지독</t>
    </r>
    <r>
      <rPr>
        <sz val="10"/>
        <rFont val="Arial"/>
        <family val="0"/>
        <charset val="1"/>
      </rPr>
      <t xml:space="preserve">/XR</t>
    </r>
  </si>
  <si>
    <t xml:space="preserve">unsure</t>
  </si>
  <si>
    <t xml:space="preserve">불확실</t>
  </si>
  <si>
    <r>
      <rPr>
        <sz val="10"/>
        <rFont val="Noto Sans CJK SC"/>
        <family val="2"/>
      </rPr>
      <t xml:space="preserve">불</t>
    </r>
    <r>
      <rPr>
        <sz val="10"/>
        <rFont val="Arial"/>
        <family val="0"/>
        <charset val="1"/>
      </rPr>
      <t xml:space="preserve">/XPN + </t>
    </r>
    <r>
      <rPr>
        <sz val="10"/>
        <rFont val="Noto Sans CJK SC"/>
        <family val="2"/>
      </rPr>
      <t xml:space="preserve">확실</t>
    </r>
    <r>
      <rPr>
        <sz val="10"/>
        <rFont val="Arial"/>
        <family val="0"/>
        <charset val="1"/>
      </rPr>
      <t xml:space="preserve">/XR</t>
    </r>
  </si>
  <si>
    <r>
      <rPr>
        <sz val="10"/>
        <rFont val="Arial"/>
        <family val="0"/>
        <charset val="1"/>
      </rPr>
      <t xml:space="preserve">unsure(fear). '</t>
    </r>
    <r>
      <rPr>
        <sz val="10"/>
        <rFont val="Noto Sans CJK SC"/>
        <family val="2"/>
      </rPr>
      <t xml:space="preserve">불확실성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은 리스크 서술 용어로 </t>
    </r>
    <r>
      <rPr>
        <sz val="10"/>
        <rFont val="Arial"/>
        <family val="0"/>
        <charset val="1"/>
      </rPr>
      <t xml:space="preserve">logos</t>
    </r>
    <r>
      <rPr>
        <sz val="10"/>
        <rFont val="Noto Sans CJK SC"/>
        <family val="2"/>
      </rPr>
      <t xml:space="preserve">성일 수 있음</t>
    </r>
  </si>
  <si>
    <t xml:space="preserve">horrible</t>
  </si>
  <si>
    <t xml:space="preserve">horrendous</t>
  </si>
  <si>
    <t xml:space="preserve">참담</t>
  </si>
  <si>
    <r>
      <rPr>
        <sz val="10"/>
        <rFont val="Noto Sans CJK SC"/>
        <family val="2"/>
      </rPr>
      <t xml:space="preserve">참담</t>
    </r>
    <r>
      <rPr>
        <sz val="10"/>
        <rFont val="Arial"/>
        <family val="0"/>
        <charset val="1"/>
      </rPr>
      <t xml:space="preserve">/NNG</t>
    </r>
  </si>
  <si>
    <t xml:space="preserve">surprise</t>
  </si>
  <si>
    <t xml:space="preserve">놀라움</t>
  </si>
  <si>
    <r>
      <rPr>
        <sz val="10"/>
        <rFont val="Noto Sans CJK SC"/>
        <family val="2"/>
      </rPr>
      <t xml:space="preserve">놀라움</t>
    </r>
    <r>
      <rPr>
        <sz val="10"/>
        <rFont val="Arial"/>
        <family val="0"/>
        <charset val="1"/>
      </rPr>
      <t xml:space="preserve">/NNG</t>
    </r>
  </si>
  <si>
    <t xml:space="preserve">unforeseen</t>
  </si>
  <si>
    <t xml:space="preserve">예기치 못한</t>
  </si>
  <si>
    <r>
      <rPr>
        <sz val="10"/>
        <rFont val="Noto Sans CJK SC"/>
        <family val="2"/>
      </rPr>
      <t xml:space="preserve">예기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하</t>
    </r>
    <r>
      <rPr>
        <sz val="10"/>
        <rFont val="Arial"/>
        <family val="0"/>
        <charset val="1"/>
      </rPr>
      <t xml:space="preserve">/XSV + </t>
    </r>
    <r>
      <rPr>
        <sz val="10"/>
        <rFont val="Noto Sans CJK SC"/>
        <family val="2"/>
      </rPr>
      <t xml:space="preserve">지</t>
    </r>
    <r>
      <rPr>
        <sz val="10"/>
        <rFont val="Arial"/>
        <family val="0"/>
        <charset val="1"/>
      </rPr>
      <t xml:space="preserve">/EC + </t>
    </r>
    <r>
      <rPr>
        <sz val="10"/>
        <rFont val="Noto Sans CJK SC"/>
        <family val="2"/>
      </rPr>
      <t xml:space="preserve">못하</t>
    </r>
    <r>
      <rPr>
        <sz val="10"/>
        <rFont val="Arial"/>
        <family val="0"/>
        <charset val="1"/>
      </rPr>
      <t xml:space="preserve">/VX + </t>
    </r>
    <r>
      <rPr>
        <sz val="10"/>
        <rFont val="Noto Sans CJK SC"/>
        <family val="2"/>
      </rPr>
      <t xml:space="preserve">ᆫ</t>
    </r>
    <r>
      <rPr>
        <sz val="10"/>
        <rFont val="Arial"/>
        <family val="0"/>
        <charset val="1"/>
      </rPr>
      <t xml:space="preserve">/ETM</t>
    </r>
  </si>
  <si>
    <r>
      <rPr>
        <sz val="10"/>
        <rFont val="Noto Sans CJK SC"/>
        <family val="2"/>
      </rPr>
      <t xml:space="preserve">예기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못하</t>
    </r>
    <r>
      <rPr>
        <sz val="10"/>
        <rFont val="Arial"/>
        <family val="0"/>
        <charset val="1"/>
      </rPr>
      <t xml:space="preserve">/VX</t>
    </r>
  </si>
  <si>
    <t xml:space="preserve">astonish</t>
  </si>
  <si>
    <t xml:space="preserve">놀라다</t>
  </si>
  <si>
    <r>
      <rPr>
        <sz val="10"/>
        <rFont val="Noto Sans CJK SC"/>
        <family val="2"/>
      </rPr>
      <t xml:space="preserve">놀라</t>
    </r>
    <r>
      <rPr>
        <sz val="10"/>
        <rFont val="Arial"/>
        <family val="0"/>
        <charset val="1"/>
      </rPr>
      <t xml:space="preserve">/VV + 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/EF</t>
    </r>
  </si>
  <si>
    <r>
      <rPr>
        <sz val="10"/>
        <rFont val="Noto Sans CJK SC"/>
        <family val="2"/>
      </rPr>
      <t xml:space="preserve">놀라</t>
    </r>
    <r>
      <rPr>
        <sz val="10"/>
        <rFont val="Arial"/>
        <family val="0"/>
        <charset val="1"/>
      </rPr>
      <t xml:space="preserve">/VV</t>
    </r>
  </si>
  <si>
    <t xml:space="preserve">unanticipated</t>
  </si>
  <si>
    <t xml:space="preserve">예상치 못한</t>
  </si>
  <si>
    <r>
      <rPr>
        <sz val="10"/>
        <rFont val="Noto Sans CJK SC"/>
        <family val="2"/>
      </rPr>
      <t xml:space="preserve">예상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하</t>
    </r>
    <r>
      <rPr>
        <sz val="10"/>
        <rFont val="Arial"/>
        <family val="0"/>
        <charset val="1"/>
      </rPr>
      <t xml:space="preserve">/XSV + </t>
    </r>
    <r>
      <rPr>
        <sz val="10"/>
        <rFont val="Noto Sans CJK SC"/>
        <family val="2"/>
      </rPr>
      <t xml:space="preserve">지</t>
    </r>
    <r>
      <rPr>
        <sz val="10"/>
        <rFont val="Arial"/>
        <family val="0"/>
        <charset val="1"/>
      </rPr>
      <t xml:space="preserve">/EC + </t>
    </r>
    <r>
      <rPr>
        <sz val="10"/>
        <rFont val="Noto Sans CJK SC"/>
        <family val="2"/>
      </rPr>
      <t xml:space="preserve">못하</t>
    </r>
    <r>
      <rPr>
        <sz val="10"/>
        <rFont val="Arial"/>
        <family val="0"/>
        <charset val="1"/>
      </rPr>
      <t xml:space="preserve">/VX + </t>
    </r>
    <r>
      <rPr>
        <sz val="10"/>
        <rFont val="Noto Sans CJK SC"/>
        <family val="2"/>
      </rPr>
      <t xml:space="preserve">ᆫ</t>
    </r>
    <r>
      <rPr>
        <sz val="10"/>
        <rFont val="Arial"/>
        <family val="0"/>
        <charset val="1"/>
      </rPr>
      <t xml:space="preserve">/ETM</t>
    </r>
  </si>
  <si>
    <r>
      <rPr>
        <sz val="10"/>
        <rFont val="Noto Sans CJK SC"/>
        <family val="2"/>
      </rPr>
      <t xml:space="preserve">예상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못하</t>
    </r>
    <r>
      <rPr>
        <sz val="10"/>
        <rFont val="Arial"/>
        <family val="0"/>
        <charset val="1"/>
      </rPr>
      <t xml:space="preserve">/VX</t>
    </r>
  </si>
  <si>
    <t xml:space="preserve">amaze</t>
  </si>
  <si>
    <t xml:space="preserve">경이</t>
  </si>
  <si>
    <r>
      <rPr>
        <sz val="10"/>
        <rFont val="Noto Sans CJK SC"/>
        <family val="2"/>
      </rPr>
      <t xml:space="preserve">경이</t>
    </r>
    <r>
      <rPr>
        <sz val="10"/>
        <rFont val="Arial"/>
        <family val="0"/>
        <charset val="1"/>
      </rPr>
      <t xml:space="preserve">/NNG</t>
    </r>
  </si>
  <si>
    <t xml:space="preserve">sudden</t>
  </si>
  <si>
    <t xml:space="preserve">갑작스럽다</t>
  </si>
  <si>
    <r>
      <rPr>
        <sz val="10"/>
        <rFont val="Noto Sans CJK SC"/>
        <family val="2"/>
      </rPr>
      <t xml:space="preserve">갑작스럽</t>
    </r>
    <r>
      <rPr>
        <sz val="10"/>
        <rFont val="Arial"/>
        <family val="0"/>
        <charset val="1"/>
      </rPr>
      <t xml:space="preserve">/VA + 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/EF</t>
    </r>
  </si>
  <si>
    <r>
      <rPr>
        <sz val="10"/>
        <rFont val="Noto Sans CJK SC"/>
        <family val="2"/>
      </rPr>
      <t xml:space="preserve">갑작스럽</t>
    </r>
    <r>
      <rPr>
        <sz val="10"/>
        <rFont val="Arial"/>
        <family val="0"/>
        <charset val="1"/>
      </rPr>
      <t xml:space="preserve">/VA</t>
    </r>
  </si>
  <si>
    <t xml:space="preserve">급격</t>
  </si>
  <si>
    <r>
      <rPr>
        <sz val="10"/>
        <rFont val="Noto Sans CJK SC"/>
        <family val="2"/>
      </rPr>
      <t xml:space="preserve">급격</t>
    </r>
    <r>
      <rPr>
        <sz val="10"/>
        <rFont val="Arial"/>
        <family val="0"/>
        <charset val="1"/>
      </rPr>
      <t xml:space="preserve">/XR</t>
    </r>
  </si>
  <si>
    <t xml:space="preserve">stun</t>
  </si>
  <si>
    <t xml:space="preserve">충격</t>
  </si>
  <si>
    <r>
      <rPr>
        <sz val="10"/>
        <rFont val="Noto Sans CJK SC"/>
        <family val="2"/>
      </rPr>
      <t xml:space="preserve">충격</t>
    </r>
    <r>
      <rPr>
        <sz val="10"/>
        <rFont val="Arial"/>
        <family val="0"/>
        <charset val="1"/>
      </rPr>
      <t xml:space="preserve">/NNG</t>
    </r>
  </si>
  <si>
    <t xml:space="preserve">jolting</t>
  </si>
  <si>
    <t xml:space="preserve">충격적</t>
  </si>
  <si>
    <r>
      <rPr>
        <sz val="10"/>
        <rFont val="Noto Sans CJK SC"/>
        <family val="2"/>
      </rPr>
      <t xml:space="preserve">충격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적</t>
    </r>
    <r>
      <rPr>
        <sz val="10"/>
        <rFont val="Arial"/>
        <family val="0"/>
        <charset val="1"/>
      </rPr>
      <t xml:space="preserve">/XSN</t>
    </r>
  </si>
  <si>
    <t xml:space="preserve">ambush</t>
  </si>
  <si>
    <t xml:space="preserve">기습</t>
  </si>
  <si>
    <r>
      <rPr>
        <sz val="10"/>
        <rFont val="Noto Sans CJK SC"/>
        <family val="2"/>
      </rPr>
      <t xml:space="preserve">기습</t>
    </r>
    <r>
      <rPr>
        <sz val="10"/>
        <rFont val="Arial"/>
        <family val="0"/>
        <charset val="1"/>
      </rPr>
      <t xml:space="preserve">/NNG</t>
    </r>
  </si>
  <si>
    <t xml:space="preserve">jarring</t>
  </si>
  <si>
    <t xml:space="preserve">거슬리다</t>
  </si>
  <si>
    <r>
      <rPr>
        <sz val="10"/>
        <rFont val="Noto Sans CJK SC"/>
        <family val="2"/>
      </rPr>
      <t xml:space="preserve">거슬리</t>
    </r>
    <r>
      <rPr>
        <sz val="10"/>
        <rFont val="Arial"/>
        <family val="0"/>
        <charset val="1"/>
      </rPr>
      <t xml:space="preserve">/VV + 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/EF</t>
    </r>
  </si>
  <si>
    <r>
      <rPr>
        <sz val="10"/>
        <rFont val="Noto Sans CJK SC"/>
        <family val="2"/>
      </rPr>
      <t xml:space="preserve">거슬리</t>
    </r>
    <r>
      <rPr>
        <sz val="10"/>
        <rFont val="Arial"/>
        <family val="0"/>
        <charset val="1"/>
      </rPr>
      <t xml:space="preserve">/VV</t>
    </r>
  </si>
  <si>
    <t xml:space="preserve">blitz</t>
  </si>
  <si>
    <t xml:space="preserve">공세</t>
  </si>
  <si>
    <r>
      <rPr>
        <sz val="10"/>
        <rFont val="Noto Sans CJK SC"/>
        <family val="2"/>
      </rPr>
      <t xml:space="preserve">공세</t>
    </r>
    <r>
      <rPr>
        <sz val="10"/>
        <rFont val="Arial"/>
        <family val="0"/>
        <charset val="1"/>
      </rPr>
      <t xml:space="preserve">/NNG</t>
    </r>
  </si>
  <si>
    <t xml:space="preserve">bombshell</t>
  </si>
  <si>
    <t xml:space="preserve">폭탄선언</t>
  </si>
  <si>
    <r>
      <rPr>
        <sz val="10"/>
        <rFont val="Noto Sans CJK SC"/>
        <family val="2"/>
      </rPr>
      <t xml:space="preserve">폭탄선언</t>
    </r>
    <r>
      <rPr>
        <sz val="10"/>
        <rFont val="Arial"/>
        <family val="0"/>
        <charset val="1"/>
      </rPr>
      <t xml:space="preserve">/NNG</t>
    </r>
  </si>
  <si>
    <t xml:space="preserve">eye-opener</t>
  </si>
  <si>
    <t xml:space="preserve">놀라운 발견</t>
  </si>
  <si>
    <r>
      <rPr>
        <sz val="10"/>
        <rFont val="Noto Sans CJK SC"/>
        <family val="2"/>
      </rPr>
      <t xml:space="preserve">놀랍</t>
    </r>
    <r>
      <rPr>
        <sz val="10"/>
        <rFont val="Arial"/>
        <family val="0"/>
        <charset val="1"/>
      </rPr>
      <t xml:space="preserve">/VA + </t>
    </r>
    <r>
      <rPr>
        <sz val="10"/>
        <rFont val="Noto Sans CJK SC"/>
        <family val="2"/>
      </rPr>
      <t xml:space="preserve">은</t>
    </r>
    <r>
      <rPr>
        <sz val="10"/>
        <rFont val="Arial"/>
        <family val="0"/>
        <charset val="1"/>
      </rPr>
      <t xml:space="preserve">/ETM + </t>
    </r>
    <r>
      <rPr>
        <sz val="10"/>
        <rFont val="Noto Sans CJK SC"/>
        <family val="2"/>
      </rPr>
      <t xml:space="preserve">발견</t>
    </r>
    <r>
      <rPr>
        <sz val="10"/>
        <rFont val="Arial"/>
        <family val="0"/>
        <charset val="1"/>
      </rPr>
      <t xml:space="preserve">/NNG</t>
    </r>
  </si>
  <si>
    <r>
      <rPr>
        <sz val="10"/>
        <rFont val="Noto Sans CJK SC"/>
        <family val="2"/>
      </rPr>
      <t xml:space="preserve">놀랍</t>
    </r>
    <r>
      <rPr>
        <sz val="10"/>
        <rFont val="Arial"/>
        <family val="0"/>
        <charset val="1"/>
      </rPr>
      <t xml:space="preserve">/VA + </t>
    </r>
    <r>
      <rPr>
        <sz val="10"/>
        <rFont val="Noto Sans CJK SC"/>
        <family val="2"/>
      </rPr>
      <t xml:space="preserve">발견</t>
    </r>
    <r>
      <rPr>
        <sz val="10"/>
        <rFont val="Arial"/>
        <family val="0"/>
        <charset val="1"/>
      </rPr>
      <t xml:space="preserve">/NNG</t>
    </r>
  </si>
  <si>
    <t xml:space="preserve">revelation</t>
  </si>
  <si>
    <t xml:space="preserve">깨달음</t>
  </si>
  <si>
    <r>
      <rPr>
        <sz val="10"/>
        <rFont val="Noto Sans CJK SC"/>
        <family val="2"/>
      </rPr>
      <t xml:space="preserve">깨달음</t>
    </r>
    <r>
      <rPr>
        <sz val="10"/>
        <rFont val="Arial"/>
        <family val="0"/>
        <charset val="1"/>
      </rPr>
      <t xml:space="preserve">/NNG</t>
    </r>
  </si>
  <si>
    <t xml:space="preserve">reveal</t>
  </si>
  <si>
    <t xml:space="preserve">밝히다</t>
  </si>
  <si>
    <r>
      <rPr>
        <sz val="10"/>
        <rFont val="Noto Sans CJK SC"/>
        <family val="2"/>
      </rPr>
      <t xml:space="preserve">밝히</t>
    </r>
    <r>
      <rPr>
        <sz val="10"/>
        <rFont val="Arial"/>
        <family val="0"/>
        <charset val="1"/>
      </rPr>
      <t xml:space="preserve">/VV + 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/EF</t>
    </r>
  </si>
  <si>
    <r>
      <rPr>
        <sz val="10"/>
        <rFont val="Noto Sans CJK SC"/>
        <family val="2"/>
      </rPr>
      <t xml:space="preserve">밝히</t>
    </r>
    <r>
      <rPr>
        <sz val="10"/>
        <rFont val="Arial"/>
        <family val="0"/>
        <charset val="1"/>
      </rPr>
      <t xml:space="preserve">/VV</t>
    </r>
  </si>
  <si>
    <t xml:space="preserve">astound</t>
  </si>
  <si>
    <t xml:space="preserve">wonder</t>
  </si>
  <si>
    <t xml:space="preserve">awe</t>
  </si>
  <si>
    <t xml:space="preserve">경외</t>
  </si>
  <si>
    <r>
      <rPr>
        <sz val="10"/>
        <rFont val="Noto Sans CJK SC"/>
        <family val="2"/>
      </rPr>
      <t xml:space="preserve">경외</t>
    </r>
    <r>
      <rPr>
        <sz val="10"/>
        <rFont val="Arial"/>
        <family val="0"/>
        <charset val="1"/>
      </rPr>
      <t xml:space="preserve">/NNG</t>
    </r>
  </si>
  <si>
    <t xml:space="preserve">marvel</t>
  </si>
  <si>
    <t xml:space="preserve">miracle</t>
  </si>
  <si>
    <t xml:space="preserve">기적</t>
  </si>
  <si>
    <r>
      <rPr>
        <sz val="10"/>
        <rFont val="Noto Sans CJK SC"/>
        <family val="2"/>
      </rPr>
      <t xml:space="preserve">기적</t>
    </r>
    <r>
      <rPr>
        <sz val="10"/>
        <rFont val="Arial"/>
        <family val="0"/>
        <charset val="1"/>
      </rPr>
      <t xml:space="preserve">/NNG</t>
    </r>
  </si>
  <si>
    <t xml:space="preserve">shock</t>
  </si>
  <si>
    <t xml:space="preserve">sneak-attack</t>
  </si>
  <si>
    <t xml:space="preserve">out-of-the-ordinary</t>
  </si>
  <si>
    <t xml:space="preserve">이례적</t>
  </si>
  <si>
    <r>
      <rPr>
        <sz val="10"/>
        <rFont val="Noto Sans CJK SC"/>
        <family val="2"/>
      </rPr>
      <t xml:space="preserve">이례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적</t>
    </r>
    <r>
      <rPr>
        <sz val="10"/>
        <rFont val="Arial"/>
        <family val="0"/>
        <charset val="1"/>
      </rPr>
      <t xml:space="preserve">/XSN</t>
    </r>
  </si>
  <si>
    <r>
      <rPr>
        <sz val="10"/>
        <rFont val="Noto Sans CJK SC"/>
        <family val="2"/>
      </rPr>
      <t xml:space="preserve">이례</t>
    </r>
    <r>
      <rPr>
        <sz val="10"/>
        <rFont val="Arial"/>
        <family val="0"/>
        <charset val="1"/>
      </rPr>
      <t xml:space="preserve">/NNG</t>
    </r>
  </si>
  <si>
    <t xml:space="preserve">incredible</t>
  </si>
  <si>
    <t xml:space="preserve">놀랍다</t>
  </si>
  <si>
    <r>
      <rPr>
        <sz val="10"/>
        <rFont val="Noto Sans CJK SC"/>
        <family val="2"/>
      </rPr>
      <t xml:space="preserve">놀랍</t>
    </r>
    <r>
      <rPr>
        <sz val="10"/>
        <rFont val="Arial"/>
        <family val="0"/>
        <charset val="1"/>
      </rPr>
      <t xml:space="preserve">/VA + 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/EF</t>
    </r>
  </si>
  <si>
    <r>
      <rPr>
        <sz val="10"/>
        <rFont val="Noto Sans CJK SC"/>
        <family val="2"/>
      </rPr>
      <t xml:space="preserve">놀랍</t>
    </r>
    <r>
      <rPr>
        <sz val="10"/>
        <rFont val="Arial"/>
        <family val="0"/>
        <charset val="1"/>
      </rPr>
      <t xml:space="preserve">/VA</t>
    </r>
  </si>
  <si>
    <t xml:space="preserve">unusual</t>
  </si>
  <si>
    <t xml:space="preserve">특이</t>
  </si>
  <si>
    <r>
      <rPr>
        <sz val="10"/>
        <rFont val="Noto Sans CJK SC"/>
        <family val="2"/>
      </rPr>
      <t xml:space="preserve">특이</t>
    </r>
    <r>
      <rPr>
        <sz val="10"/>
        <rFont val="Arial"/>
        <family val="0"/>
        <charset val="1"/>
      </rPr>
      <t xml:space="preserve">/NNG</t>
    </r>
  </si>
  <si>
    <t xml:space="preserve">uncommon</t>
  </si>
  <si>
    <t xml:space="preserve">드물다</t>
  </si>
  <si>
    <r>
      <rPr>
        <sz val="10"/>
        <rFont val="Noto Sans CJK SC"/>
        <family val="2"/>
      </rPr>
      <t xml:space="preserve">드물</t>
    </r>
    <r>
      <rPr>
        <sz val="10"/>
        <rFont val="Arial"/>
        <family val="0"/>
        <charset val="1"/>
      </rPr>
      <t xml:space="preserve">/VA + 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/EF</t>
    </r>
  </si>
  <si>
    <r>
      <rPr>
        <sz val="10"/>
        <rFont val="Noto Sans CJK SC"/>
        <family val="2"/>
      </rPr>
      <t xml:space="preserve">드물</t>
    </r>
    <r>
      <rPr>
        <sz val="10"/>
        <rFont val="Arial"/>
        <family val="0"/>
        <charset val="1"/>
      </rPr>
      <t xml:space="preserve">/VA</t>
    </r>
  </si>
  <si>
    <t xml:space="preserve">unfamiliar</t>
  </si>
  <si>
    <t xml:space="preserve">낯설다</t>
  </si>
  <si>
    <r>
      <rPr>
        <sz val="10"/>
        <rFont val="Noto Sans CJK SC"/>
        <family val="2"/>
      </rPr>
      <t xml:space="preserve">낯설</t>
    </r>
    <r>
      <rPr>
        <sz val="10"/>
        <rFont val="Arial"/>
        <family val="0"/>
        <charset val="1"/>
      </rPr>
      <t xml:space="preserve">/VA + 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/EF</t>
    </r>
  </si>
  <si>
    <r>
      <rPr>
        <sz val="10"/>
        <rFont val="Noto Sans CJK SC"/>
        <family val="2"/>
      </rPr>
      <t xml:space="preserve">낯설</t>
    </r>
    <r>
      <rPr>
        <sz val="10"/>
        <rFont val="Arial"/>
        <family val="0"/>
        <charset val="1"/>
      </rPr>
      <t xml:space="preserve">/VA</t>
    </r>
  </si>
  <si>
    <t xml:space="preserve">anger</t>
  </si>
  <si>
    <t xml:space="preserve">분노</t>
  </si>
  <si>
    <r>
      <rPr>
        <sz val="10"/>
        <rFont val="Noto Sans CJK SC"/>
        <family val="2"/>
      </rPr>
      <t xml:space="preserve">분노</t>
    </r>
    <r>
      <rPr>
        <sz val="10"/>
        <rFont val="Arial"/>
        <family val="0"/>
        <charset val="1"/>
      </rPr>
      <t xml:space="preserve">/NNG</t>
    </r>
  </si>
  <si>
    <t xml:space="preserve">enrage</t>
  </si>
  <si>
    <t xml:space="preserve">격분</t>
  </si>
  <si>
    <r>
      <rPr>
        <sz val="10"/>
        <rFont val="Noto Sans CJK SC"/>
        <family val="2"/>
      </rPr>
      <t xml:space="preserve">격분</t>
    </r>
    <r>
      <rPr>
        <sz val="10"/>
        <rFont val="Arial"/>
        <family val="0"/>
        <charset val="1"/>
      </rPr>
      <t xml:space="preserve">/NNG</t>
    </r>
  </si>
  <si>
    <t xml:space="preserve">ire</t>
  </si>
  <si>
    <t xml:space="preserve">infuriate</t>
  </si>
  <si>
    <t xml:space="preserve">wroth</t>
  </si>
  <si>
    <t xml:space="preserve">격노</t>
  </si>
  <si>
    <r>
      <rPr>
        <sz val="10"/>
        <rFont val="Noto Sans CJK SC"/>
        <family val="2"/>
      </rPr>
      <t xml:space="preserve">격노</t>
    </r>
    <r>
      <rPr>
        <sz val="10"/>
        <rFont val="Arial"/>
        <family val="0"/>
        <charset val="1"/>
      </rPr>
      <t xml:space="preserve">/NNG</t>
    </r>
  </si>
  <si>
    <t xml:space="preserve">fight</t>
  </si>
  <si>
    <t xml:space="preserve">싸움</t>
  </si>
  <si>
    <r>
      <rPr>
        <sz val="10"/>
        <rFont val="Noto Sans CJK SC"/>
        <family val="2"/>
      </rPr>
      <t xml:space="preserve">싸움</t>
    </r>
    <r>
      <rPr>
        <sz val="10"/>
        <rFont val="Arial"/>
        <family val="0"/>
        <charset val="1"/>
      </rPr>
      <t xml:space="preserve">/NNG</t>
    </r>
  </si>
  <si>
    <t xml:space="preserve">irate</t>
  </si>
  <si>
    <t xml:space="preserve">성나다</t>
  </si>
  <si>
    <r>
      <rPr>
        <sz val="10"/>
        <rFont val="Noto Sans CJK SC"/>
        <family val="2"/>
      </rPr>
      <t xml:space="preserve">성나</t>
    </r>
    <r>
      <rPr>
        <sz val="10"/>
        <rFont val="Arial"/>
        <family val="0"/>
        <charset val="1"/>
      </rPr>
      <t xml:space="preserve">/VV + 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/EF</t>
    </r>
  </si>
  <si>
    <r>
      <rPr>
        <sz val="10"/>
        <rFont val="Noto Sans CJK SC"/>
        <family val="2"/>
      </rPr>
      <t xml:space="preserve">성나</t>
    </r>
    <r>
      <rPr>
        <sz val="10"/>
        <rFont val="Arial"/>
        <family val="0"/>
        <charset val="1"/>
      </rPr>
      <t xml:space="preserve">/VV</t>
    </r>
  </si>
  <si>
    <t xml:space="preserve">contentious</t>
  </si>
  <si>
    <t xml:space="preserve">논쟁적</t>
  </si>
  <si>
    <r>
      <rPr>
        <sz val="10"/>
        <rFont val="Noto Sans CJK SC"/>
        <family val="2"/>
      </rPr>
      <t xml:space="preserve">논쟁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적</t>
    </r>
    <r>
      <rPr>
        <sz val="10"/>
        <rFont val="Arial"/>
        <family val="0"/>
        <charset val="1"/>
      </rPr>
      <t xml:space="preserve">/XSN</t>
    </r>
  </si>
  <si>
    <r>
      <rPr>
        <sz val="10"/>
        <rFont val="Noto Sans CJK SC"/>
        <family val="2"/>
      </rPr>
      <t xml:space="preserve">논쟁</t>
    </r>
    <r>
      <rPr>
        <sz val="10"/>
        <rFont val="Arial"/>
        <family val="0"/>
        <charset val="1"/>
      </rPr>
      <t xml:space="preserve">/NNG</t>
    </r>
  </si>
  <si>
    <t xml:space="preserve">hostile</t>
  </si>
  <si>
    <t xml:space="preserve">적대</t>
  </si>
  <si>
    <r>
      <rPr>
        <sz val="10"/>
        <rFont val="Noto Sans CJK SC"/>
        <family val="2"/>
      </rPr>
      <t xml:space="preserve">적대</t>
    </r>
    <r>
      <rPr>
        <sz val="10"/>
        <rFont val="Arial"/>
        <family val="0"/>
        <charset val="1"/>
      </rPr>
      <t xml:space="preserve">/NNG</t>
    </r>
  </si>
  <si>
    <t xml:space="preserve">provoke</t>
  </si>
  <si>
    <t xml:space="preserve">자극</t>
  </si>
  <si>
    <r>
      <rPr>
        <sz val="10"/>
        <rFont val="Noto Sans CJK SC"/>
        <family val="2"/>
      </rPr>
      <t xml:space="preserve">자극</t>
    </r>
    <r>
      <rPr>
        <sz val="10"/>
        <rFont val="Arial"/>
        <family val="0"/>
        <charset val="1"/>
      </rPr>
      <t xml:space="preserve">/NNG</t>
    </r>
  </si>
  <si>
    <t xml:space="preserve">belligerent</t>
  </si>
  <si>
    <t xml:space="preserve">호전적</t>
  </si>
  <si>
    <r>
      <rPr>
        <sz val="10"/>
        <rFont val="Noto Sans CJK SC"/>
        <family val="2"/>
      </rPr>
      <t xml:space="preserve">호전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적</t>
    </r>
    <r>
      <rPr>
        <sz val="10"/>
        <rFont val="Arial"/>
        <family val="0"/>
        <charset val="1"/>
      </rPr>
      <t xml:space="preserve">/XSN</t>
    </r>
  </si>
  <si>
    <r>
      <rPr>
        <sz val="10"/>
        <rFont val="Noto Sans CJK SC"/>
        <family val="2"/>
      </rPr>
      <t xml:space="preserve">호전</t>
    </r>
    <r>
      <rPr>
        <sz val="10"/>
        <rFont val="Arial"/>
        <family val="0"/>
        <charset val="1"/>
      </rPr>
      <t xml:space="preserve">/NNG</t>
    </r>
  </si>
  <si>
    <t xml:space="preserve">wrath</t>
  </si>
  <si>
    <t xml:space="preserve">진노</t>
  </si>
  <si>
    <r>
      <rPr>
        <sz val="10"/>
        <rFont val="Noto Sans CJK SC"/>
        <family val="2"/>
      </rPr>
      <t xml:space="preserve">진노</t>
    </r>
    <r>
      <rPr>
        <sz val="10"/>
        <rFont val="Arial"/>
        <family val="0"/>
        <charset val="1"/>
      </rPr>
      <t xml:space="preserve">/NNG</t>
    </r>
  </si>
  <si>
    <t xml:space="preserve">arouse</t>
  </si>
  <si>
    <t xml:space="preserve">furious</t>
  </si>
  <si>
    <t xml:space="preserve">맹렬</t>
  </si>
  <si>
    <r>
      <rPr>
        <sz val="10"/>
        <rFont val="Noto Sans CJK SC"/>
        <family val="2"/>
      </rPr>
      <t xml:space="preserve">맹렬</t>
    </r>
    <r>
      <rPr>
        <sz val="10"/>
        <rFont val="Arial"/>
        <family val="0"/>
        <charset val="1"/>
      </rPr>
      <t xml:space="preserve">/XR</t>
    </r>
  </si>
  <si>
    <t xml:space="preserve">spite</t>
  </si>
  <si>
    <t xml:space="preserve">악의</t>
  </si>
  <si>
    <r>
      <rPr>
        <sz val="10"/>
        <rFont val="Noto Sans CJK SC"/>
        <family val="2"/>
      </rPr>
      <t xml:space="preserve">악의</t>
    </r>
    <r>
      <rPr>
        <sz val="10"/>
        <rFont val="Arial"/>
        <family val="0"/>
        <charset val="1"/>
      </rPr>
      <t xml:space="preserve">/NNG</t>
    </r>
  </si>
  <si>
    <t xml:space="preserve">livid</t>
  </si>
  <si>
    <t xml:space="preserve">rage</t>
  </si>
  <si>
    <t xml:space="preserve">distraught</t>
  </si>
  <si>
    <t xml:space="preserve">혼란</t>
  </si>
  <si>
    <r>
      <rPr>
        <sz val="10"/>
        <rFont val="Noto Sans CJK SC"/>
        <family val="2"/>
      </rPr>
      <t xml:space="preserve">혼란</t>
    </r>
    <r>
      <rPr>
        <sz val="10"/>
        <rFont val="Arial"/>
        <family val="0"/>
        <charset val="1"/>
      </rPr>
      <t xml:space="preserve">/NNG</t>
    </r>
  </si>
  <si>
    <t xml:space="preserve">savage</t>
  </si>
  <si>
    <t xml:space="preserve">야만</t>
  </si>
  <si>
    <r>
      <rPr>
        <sz val="10"/>
        <rFont val="Noto Sans CJK SC"/>
        <family val="2"/>
      </rPr>
      <t xml:space="preserve">야만</t>
    </r>
    <r>
      <rPr>
        <sz val="10"/>
        <rFont val="Arial"/>
        <family val="0"/>
        <charset val="1"/>
      </rPr>
      <t xml:space="preserve">/NNG</t>
    </r>
  </si>
  <si>
    <t xml:space="preserve">fury</t>
  </si>
  <si>
    <t xml:space="preserve">agitate</t>
  </si>
  <si>
    <t xml:space="preserve">선동</t>
  </si>
  <si>
    <r>
      <rPr>
        <sz val="10"/>
        <rFont val="Noto Sans CJK SC"/>
        <family val="2"/>
      </rPr>
      <t xml:space="preserve">선동</t>
    </r>
    <r>
      <rPr>
        <sz val="10"/>
        <rFont val="Arial"/>
        <family val="0"/>
        <charset val="1"/>
      </rPr>
      <t xml:space="preserve">/NNG</t>
    </r>
  </si>
  <si>
    <t xml:space="preserve">upset</t>
  </si>
  <si>
    <t xml:space="preserve">속상</t>
  </si>
  <si>
    <r>
      <rPr>
        <sz val="10"/>
        <rFont val="Noto Sans CJK SC"/>
        <family val="2"/>
      </rPr>
      <t xml:space="preserve">속상</t>
    </r>
    <r>
      <rPr>
        <sz val="10"/>
        <rFont val="Arial"/>
        <family val="0"/>
        <charset val="1"/>
      </rPr>
      <t xml:space="preserve">/XR</t>
    </r>
  </si>
  <si>
    <t xml:space="preserve">이변</t>
  </si>
  <si>
    <r>
      <rPr>
        <sz val="10"/>
        <rFont val="Noto Sans CJK SC"/>
        <family val="2"/>
      </rPr>
      <t xml:space="preserve">이변</t>
    </r>
    <r>
      <rPr>
        <sz val="10"/>
        <rFont val="Arial"/>
        <family val="0"/>
        <charset val="1"/>
      </rPr>
      <t xml:space="preserve">/NNG</t>
    </r>
  </si>
  <si>
    <t xml:space="preserve">violent</t>
  </si>
  <si>
    <t xml:space="preserve">threaten</t>
  </si>
  <si>
    <t xml:space="preserve">rant</t>
  </si>
  <si>
    <t xml:space="preserve">고함</t>
  </si>
  <si>
    <r>
      <rPr>
        <sz val="10"/>
        <rFont val="Noto Sans CJK SC"/>
        <family val="2"/>
      </rPr>
      <t xml:space="preserve">고함</t>
    </r>
    <r>
      <rPr>
        <sz val="10"/>
        <rFont val="Arial"/>
        <family val="0"/>
        <charset val="1"/>
      </rPr>
      <t xml:space="preserve">/NNG</t>
    </r>
  </si>
  <si>
    <t xml:space="preserve">seethe</t>
  </si>
  <si>
    <t xml:space="preserve">부글부글</t>
  </si>
  <si>
    <r>
      <rPr>
        <sz val="10"/>
        <rFont val="Noto Sans CJK SC"/>
        <family val="2"/>
      </rPr>
      <t xml:space="preserve">부글부글</t>
    </r>
    <r>
      <rPr>
        <sz val="10"/>
        <rFont val="Arial"/>
        <family val="0"/>
        <charset val="1"/>
      </rPr>
      <t xml:space="preserve">/MAG</t>
    </r>
  </si>
  <si>
    <t xml:space="preserve">resent</t>
  </si>
  <si>
    <t xml:space="preserve">분개</t>
  </si>
  <si>
    <r>
      <rPr>
        <sz val="10"/>
        <rFont val="Noto Sans CJK SC"/>
        <family val="2"/>
      </rPr>
      <t xml:space="preserve">분개</t>
    </r>
    <r>
      <rPr>
        <sz val="10"/>
        <rFont val="Arial"/>
        <family val="0"/>
        <charset val="1"/>
      </rPr>
      <t xml:space="preserve">/NNG</t>
    </r>
  </si>
  <si>
    <t xml:space="preserve">rabid</t>
  </si>
  <si>
    <t xml:space="preserve">광신적</t>
  </si>
  <si>
    <r>
      <rPr>
        <sz val="10"/>
        <rFont val="Noto Sans CJK SC"/>
        <family val="2"/>
      </rPr>
      <t xml:space="preserve">광신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적</t>
    </r>
    <r>
      <rPr>
        <sz val="10"/>
        <rFont val="Arial"/>
        <family val="0"/>
        <charset val="1"/>
      </rPr>
      <t xml:space="preserve">/XSN</t>
    </r>
  </si>
  <si>
    <r>
      <rPr>
        <sz val="10"/>
        <rFont val="Noto Sans CJK SC"/>
        <family val="2"/>
      </rPr>
      <t xml:space="preserve">광신</t>
    </r>
    <r>
      <rPr>
        <sz val="10"/>
        <rFont val="Arial"/>
        <family val="0"/>
        <charset val="1"/>
      </rPr>
      <t xml:space="preserve">/NNG</t>
    </r>
  </si>
  <si>
    <t xml:space="preserve">irritate</t>
  </si>
  <si>
    <t xml:space="preserve">짜증</t>
  </si>
  <si>
    <r>
      <rPr>
        <sz val="10"/>
        <rFont val="Noto Sans CJK SC"/>
        <family val="2"/>
      </rPr>
      <t xml:space="preserve">짜증</t>
    </r>
    <r>
      <rPr>
        <sz val="10"/>
        <rFont val="Arial"/>
        <family val="0"/>
        <charset val="1"/>
      </rPr>
      <t xml:space="preserve">/NNG</t>
    </r>
  </si>
  <si>
    <t xml:space="preserve">frenzy</t>
  </si>
  <si>
    <t xml:space="preserve">광풍</t>
  </si>
  <si>
    <r>
      <rPr>
        <sz val="10"/>
        <rFont val="Noto Sans CJK SC"/>
        <family val="2"/>
      </rPr>
      <t xml:space="preserve">광풍</t>
    </r>
    <r>
      <rPr>
        <sz val="10"/>
        <rFont val="Arial"/>
        <family val="0"/>
        <charset val="1"/>
      </rPr>
      <t xml:space="preserve">/NNG</t>
    </r>
  </si>
  <si>
    <t xml:space="preserve">gall</t>
  </si>
  <si>
    <t xml:space="preserve">뻔뻔</t>
  </si>
  <si>
    <r>
      <rPr>
        <sz val="10"/>
        <rFont val="Noto Sans CJK SC"/>
        <family val="2"/>
      </rPr>
      <t xml:space="preserve">뻔뻔</t>
    </r>
    <r>
      <rPr>
        <sz val="10"/>
        <rFont val="Arial"/>
        <family val="0"/>
        <charset val="1"/>
      </rPr>
      <t xml:space="preserve">/XR</t>
    </r>
  </si>
  <si>
    <t xml:space="preserve">irk</t>
  </si>
  <si>
    <t xml:space="preserve">성가시다</t>
  </si>
  <si>
    <r>
      <rPr>
        <sz val="10"/>
        <rFont val="Noto Sans CJK SC"/>
        <family val="2"/>
      </rPr>
      <t xml:space="preserve">성가시</t>
    </r>
    <r>
      <rPr>
        <sz val="10"/>
        <rFont val="Arial"/>
        <family val="0"/>
        <charset val="1"/>
      </rPr>
      <t xml:space="preserve">/VA + 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/EF</t>
    </r>
  </si>
  <si>
    <r>
      <rPr>
        <sz val="10"/>
        <rFont val="Noto Sans CJK SC"/>
        <family val="2"/>
      </rPr>
      <t xml:space="preserve">성가시</t>
    </r>
    <r>
      <rPr>
        <sz val="10"/>
        <rFont val="Arial"/>
        <family val="0"/>
        <charset val="1"/>
      </rPr>
      <t xml:space="preserve">/VA</t>
    </r>
  </si>
  <si>
    <t xml:space="preserve">mad</t>
  </si>
  <si>
    <t xml:space="preserve">화나다</t>
  </si>
  <si>
    <r>
      <rPr>
        <sz val="10"/>
        <rFont val="Noto Sans CJK SC"/>
        <family val="2"/>
      </rPr>
      <t xml:space="preserve">화나</t>
    </r>
    <r>
      <rPr>
        <sz val="10"/>
        <rFont val="Arial"/>
        <family val="0"/>
        <charset val="1"/>
      </rPr>
      <t xml:space="preserve">/VV + 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/EF</t>
    </r>
  </si>
  <si>
    <r>
      <rPr>
        <sz val="10"/>
        <rFont val="Noto Sans CJK SC"/>
        <family val="2"/>
      </rPr>
      <t xml:space="preserve">화나</t>
    </r>
    <r>
      <rPr>
        <sz val="10"/>
        <rFont val="Arial"/>
        <family val="0"/>
        <charset val="1"/>
      </rPr>
      <t xml:space="preserve">/VV</t>
    </r>
  </si>
  <si>
    <t xml:space="preserve">rile</t>
  </si>
  <si>
    <t xml:space="preserve">약올리다</t>
  </si>
  <si>
    <r>
      <rPr>
        <sz val="10"/>
        <rFont val="Noto Sans CJK SC"/>
        <family val="2"/>
      </rPr>
      <t xml:space="preserve">약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올리</t>
    </r>
    <r>
      <rPr>
        <sz val="10"/>
        <rFont val="Arial"/>
        <family val="0"/>
        <charset val="1"/>
      </rPr>
      <t xml:space="preserve">/VV + 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/EF</t>
    </r>
  </si>
  <si>
    <r>
      <rPr>
        <sz val="10"/>
        <rFont val="Noto Sans CJK SC"/>
        <family val="2"/>
      </rPr>
      <t xml:space="preserve">약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올리</t>
    </r>
    <r>
      <rPr>
        <sz val="10"/>
        <rFont val="Arial"/>
        <family val="0"/>
        <charset val="1"/>
      </rPr>
      <t xml:space="preserve">/VV</t>
    </r>
  </si>
  <si>
    <t xml:space="preserve">aggravate</t>
  </si>
  <si>
    <t xml:space="preserve">악화</t>
  </si>
  <si>
    <r>
      <rPr>
        <sz val="10"/>
        <rFont val="Noto Sans CJK SC"/>
        <family val="2"/>
      </rPr>
      <t xml:space="preserve">악화</t>
    </r>
    <r>
      <rPr>
        <sz val="10"/>
        <rFont val="Arial"/>
        <family val="0"/>
        <charset val="1"/>
      </rPr>
      <t xml:space="preserve">/NNG</t>
    </r>
  </si>
  <si>
    <t xml:space="preserve">indignant</t>
  </si>
  <si>
    <t xml:space="preserve">ill-will</t>
  </si>
  <si>
    <t xml:space="preserve">악감정</t>
  </si>
  <si>
    <r>
      <rPr>
        <sz val="10"/>
        <rFont val="Noto Sans CJK SC"/>
        <family val="2"/>
      </rPr>
      <t xml:space="preserve">악감정</t>
    </r>
    <r>
      <rPr>
        <sz val="10"/>
        <rFont val="Arial"/>
        <family val="0"/>
        <charset val="1"/>
      </rPr>
      <t xml:space="preserve">/NNG</t>
    </r>
  </si>
  <si>
    <t xml:space="preserve">miff</t>
  </si>
  <si>
    <t xml:space="preserve">언짢다</t>
  </si>
  <si>
    <r>
      <rPr>
        <sz val="10"/>
        <rFont val="Noto Sans CJK SC"/>
        <family val="2"/>
      </rPr>
      <t xml:space="preserve">언짢</t>
    </r>
    <r>
      <rPr>
        <sz val="10"/>
        <rFont val="Arial"/>
        <family val="0"/>
        <charset val="1"/>
      </rPr>
      <t xml:space="preserve">/VA + 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/EF</t>
    </r>
  </si>
  <si>
    <r>
      <rPr>
        <sz val="10"/>
        <rFont val="Noto Sans CJK SC"/>
        <family val="2"/>
      </rPr>
      <t xml:space="preserve">언짢</t>
    </r>
    <r>
      <rPr>
        <sz val="10"/>
        <rFont val="Arial"/>
        <family val="0"/>
        <charset val="1"/>
      </rPr>
      <t xml:space="preserve">/VA</t>
    </r>
  </si>
  <si>
    <t xml:space="preserve">stirred-up</t>
  </si>
  <si>
    <t xml:space="preserve">동요</t>
  </si>
  <si>
    <r>
      <rPr>
        <sz val="10"/>
        <rFont val="Noto Sans CJK SC"/>
        <family val="2"/>
      </rPr>
      <t xml:space="preserve">동요</t>
    </r>
    <r>
      <rPr>
        <sz val="10"/>
        <rFont val="Arial"/>
        <family val="0"/>
        <charset val="1"/>
      </rPr>
      <t xml:space="preserve">/NNG</t>
    </r>
  </si>
  <si>
    <t xml:space="preserve">bad-blood</t>
  </si>
  <si>
    <t xml:space="preserve">반목</t>
  </si>
  <si>
    <r>
      <rPr>
        <sz val="10"/>
        <rFont val="Noto Sans CJK SC"/>
        <family val="2"/>
      </rPr>
      <t xml:space="preserve">반목</t>
    </r>
    <r>
      <rPr>
        <sz val="10"/>
        <rFont val="Arial"/>
        <family val="0"/>
        <charset val="1"/>
      </rPr>
      <t xml:space="preserve">/NNG</t>
    </r>
  </si>
  <si>
    <t xml:space="preserve">exasperate</t>
  </si>
  <si>
    <t xml:space="preserve">격앙</t>
  </si>
  <si>
    <r>
      <rPr>
        <sz val="10"/>
        <rFont val="Noto Sans CJK SC"/>
        <family val="2"/>
      </rPr>
      <t xml:space="preserve">격앙</t>
    </r>
    <r>
      <rPr>
        <sz val="10"/>
        <rFont val="Arial"/>
        <family val="0"/>
        <charset val="1"/>
      </rPr>
      <t xml:space="preserve">/NNG</t>
    </r>
  </si>
  <si>
    <t xml:space="preserve">petulant</t>
  </si>
  <si>
    <t xml:space="preserve">exacerbate</t>
  </si>
  <si>
    <t xml:space="preserve">discontent</t>
  </si>
  <si>
    <t xml:space="preserve">불만</t>
  </si>
  <si>
    <r>
      <rPr>
        <sz val="10"/>
        <rFont val="Noto Sans CJK SC"/>
        <family val="2"/>
      </rPr>
      <t xml:space="preserve">불만</t>
    </r>
    <r>
      <rPr>
        <sz val="10"/>
        <rFont val="Arial"/>
        <family val="0"/>
        <charset val="1"/>
      </rPr>
      <t xml:space="preserve">/NNG</t>
    </r>
  </si>
  <si>
    <t xml:space="preserve">affront</t>
  </si>
  <si>
    <t xml:space="preserve">모욕</t>
  </si>
  <si>
    <r>
      <rPr>
        <sz val="10"/>
        <rFont val="Noto Sans CJK SC"/>
        <family val="2"/>
      </rPr>
      <t xml:space="preserve">모욕</t>
    </r>
    <r>
      <rPr>
        <sz val="10"/>
        <rFont val="Arial"/>
        <family val="0"/>
        <charset val="1"/>
      </rPr>
      <t xml:space="preserve">/NNG</t>
    </r>
  </si>
  <si>
    <t xml:space="preserve">uptight</t>
  </si>
  <si>
    <t xml:space="preserve">insult</t>
  </si>
  <si>
    <t xml:space="preserve">humiliate</t>
  </si>
  <si>
    <t xml:space="preserve">굴욕</t>
  </si>
  <si>
    <r>
      <rPr>
        <sz val="10"/>
        <rFont val="Noto Sans CJK SC"/>
        <family val="2"/>
      </rPr>
      <t xml:space="preserve">굴욕</t>
    </r>
    <r>
      <rPr>
        <sz val="10"/>
        <rFont val="Arial"/>
        <family val="0"/>
        <charset val="1"/>
      </rPr>
      <t xml:space="preserve">/NNG</t>
    </r>
  </si>
  <si>
    <t xml:space="preserve">mortify</t>
  </si>
  <si>
    <t xml:space="preserve">창피</t>
  </si>
  <si>
    <r>
      <rPr>
        <sz val="10"/>
        <rFont val="Noto Sans CJK SC"/>
        <family val="2"/>
      </rPr>
      <t xml:space="preserve">창피</t>
    </r>
    <r>
      <rPr>
        <sz val="10"/>
        <rFont val="Arial"/>
        <family val="0"/>
        <charset val="1"/>
      </rPr>
      <t xml:space="preserve">/NNG</t>
    </r>
  </si>
  <si>
    <t xml:space="preserve">disgust</t>
  </si>
  <si>
    <t xml:space="preserve">혐오</t>
  </si>
  <si>
    <r>
      <rPr>
        <sz val="10"/>
        <rFont val="Noto Sans CJK SC"/>
        <family val="2"/>
      </rPr>
      <t xml:space="preserve">혐오</t>
    </r>
    <r>
      <rPr>
        <sz val="10"/>
        <rFont val="Arial"/>
        <family val="0"/>
        <charset val="1"/>
      </rPr>
      <t xml:space="preserve">/NNG</t>
    </r>
  </si>
  <si>
    <t xml:space="preserve">despicable</t>
  </si>
  <si>
    <t xml:space="preserve">비열</t>
  </si>
  <si>
    <r>
      <rPr>
        <sz val="10"/>
        <rFont val="Noto Sans CJK SC"/>
        <family val="2"/>
      </rPr>
      <t xml:space="preserve">비열</t>
    </r>
    <r>
      <rPr>
        <sz val="10"/>
        <rFont val="Arial"/>
        <family val="0"/>
        <charset val="1"/>
      </rPr>
      <t xml:space="preserve">/NNG</t>
    </r>
  </si>
  <si>
    <t xml:space="preserve">disappoint</t>
  </si>
  <si>
    <t xml:space="preserve">revolt</t>
  </si>
  <si>
    <t xml:space="preserve">반란</t>
  </si>
  <si>
    <r>
      <rPr>
        <sz val="10"/>
        <rFont val="Noto Sans CJK SC"/>
        <family val="2"/>
      </rPr>
      <t xml:space="preserve">반란</t>
    </r>
    <r>
      <rPr>
        <sz val="10"/>
        <rFont val="Arial"/>
        <family val="0"/>
        <charset val="1"/>
      </rPr>
      <t xml:space="preserve">/NNG</t>
    </r>
  </si>
  <si>
    <t xml:space="preserve">역겹다</t>
  </si>
  <si>
    <r>
      <rPr>
        <sz val="10"/>
        <rFont val="Noto Sans CJK SC"/>
        <family val="2"/>
      </rPr>
      <t xml:space="preserve">역겹</t>
    </r>
    <r>
      <rPr>
        <sz val="10"/>
        <rFont val="Arial"/>
        <family val="0"/>
        <charset val="1"/>
      </rPr>
      <t xml:space="preserve">/VA + 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/EF</t>
    </r>
  </si>
  <si>
    <r>
      <rPr>
        <sz val="10"/>
        <rFont val="Noto Sans CJK SC"/>
        <family val="2"/>
      </rPr>
      <t xml:space="preserve">역겹</t>
    </r>
    <r>
      <rPr>
        <sz val="10"/>
        <rFont val="Arial"/>
        <family val="0"/>
        <charset val="1"/>
      </rPr>
      <t xml:space="preserve">/VA</t>
    </r>
  </si>
  <si>
    <t xml:space="preserve">sicken</t>
  </si>
  <si>
    <t xml:space="preserve">objectionable</t>
  </si>
  <si>
    <t xml:space="preserve">불쾌</t>
  </si>
  <si>
    <r>
      <rPr>
        <sz val="10"/>
        <rFont val="Noto Sans CJK SC"/>
        <family val="2"/>
      </rPr>
      <t xml:space="preserve">불쾌</t>
    </r>
    <r>
      <rPr>
        <sz val="10"/>
        <rFont val="Arial"/>
        <family val="0"/>
        <charset val="1"/>
      </rPr>
      <t xml:space="preserve">/NNG</t>
    </r>
  </si>
  <si>
    <t xml:space="preserve">off-putting</t>
  </si>
  <si>
    <t xml:space="preserve">거부감</t>
  </si>
  <si>
    <r>
      <rPr>
        <sz val="10"/>
        <rFont val="Noto Sans CJK SC"/>
        <family val="2"/>
      </rPr>
      <t xml:space="preserve">거부감</t>
    </r>
    <r>
      <rPr>
        <sz val="10"/>
        <rFont val="Arial"/>
        <family val="0"/>
        <charset val="1"/>
      </rPr>
      <t xml:space="preserve">/NNG</t>
    </r>
  </si>
  <si>
    <t xml:space="preserve">offend</t>
  </si>
  <si>
    <t xml:space="preserve">dissatisfaction</t>
  </si>
  <si>
    <t xml:space="preserve">불만족</t>
  </si>
  <si>
    <r>
      <rPr>
        <sz val="10"/>
        <rFont val="Noto Sans CJK SC"/>
        <family val="2"/>
      </rPr>
      <t xml:space="preserve">불</t>
    </r>
    <r>
      <rPr>
        <sz val="10"/>
        <rFont val="Arial"/>
        <family val="0"/>
        <charset val="1"/>
      </rPr>
      <t xml:space="preserve">/XPN + </t>
    </r>
    <r>
      <rPr>
        <sz val="10"/>
        <rFont val="Noto Sans CJK SC"/>
        <family val="2"/>
      </rPr>
      <t xml:space="preserve">만족</t>
    </r>
    <r>
      <rPr>
        <sz val="10"/>
        <rFont val="Arial"/>
        <family val="0"/>
        <charset val="1"/>
      </rPr>
      <t xml:space="preserve">/NNG</t>
    </r>
  </si>
  <si>
    <t xml:space="preserve">obnoxious</t>
  </si>
  <si>
    <t xml:space="preserve">disapproval</t>
  </si>
  <si>
    <t xml:space="preserve">반대</t>
  </si>
  <si>
    <r>
      <rPr>
        <sz val="10"/>
        <rFont val="Noto Sans CJK SC"/>
        <family val="2"/>
      </rPr>
      <t xml:space="preserve">반대</t>
    </r>
    <r>
      <rPr>
        <sz val="10"/>
        <rFont val="Arial"/>
        <family val="0"/>
        <charset val="1"/>
      </rPr>
      <t xml:space="preserve">/NNG</t>
    </r>
  </si>
  <si>
    <t xml:space="preserve">nasty</t>
  </si>
  <si>
    <t xml:space="preserve">고약</t>
  </si>
  <si>
    <r>
      <rPr>
        <sz val="10"/>
        <rFont val="Noto Sans CJK SC"/>
        <family val="2"/>
      </rPr>
      <t xml:space="preserve">고약</t>
    </r>
    <r>
      <rPr>
        <sz val="10"/>
        <rFont val="Arial"/>
        <family val="0"/>
        <charset val="1"/>
      </rPr>
      <t xml:space="preserve">/XR</t>
    </r>
  </si>
  <si>
    <t xml:space="preserve">repulse</t>
  </si>
  <si>
    <t xml:space="preserve">displeasure</t>
  </si>
  <si>
    <t xml:space="preserve">unpleasant</t>
  </si>
  <si>
    <t xml:space="preserve">displease</t>
  </si>
  <si>
    <t xml:space="preserve">sick-and-tired</t>
  </si>
  <si>
    <t xml:space="preserve">지긋지긋</t>
  </si>
  <si>
    <r>
      <rPr>
        <sz val="10"/>
        <rFont val="Noto Sans CJK SC"/>
        <family val="2"/>
      </rPr>
      <t xml:space="preserve">지긋지긋</t>
    </r>
    <r>
      <rPr>
        <sz val="10"/>
        <rFont val="Arial"/>
        <family val="0"/>
        <charset val="1"/>
      </rPr>
      <t xml:space="preserve">/MAG</t>
    </r>
  </si>
  <si>
    <t xml:space="preserve">sick-of</t>
  </si>
  <si>
    <t xml:space="preserve">질리다</t>
  </si>
  <si>
    <r>
      <rPr>
        <sz val="10"/>
        <rFont val="Noto Sans CJK SC"/>
        <family val="2"/>
      </rPr>
      <t xml:space="preserve">질리</t>
    </r>
    <r>
      <rPr>
        <sz val="10"/>
        <rFont val="Arial"/>
        <family val="0"/>
        <charset val="1"/>
      </rPr>
      <t xml:space="preserve">/VV + 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/EF</t>
    </r>
  </si>
  <si>
    <r>
      <rPr>
        <sz val="10"/>
        <rFont val="Noto Sans CJK SC"/>
        <family val="2"/>
      </rPr>
      <t xml:space="preserve">질리</t>
    </r>
    <r>
      <rPr>
        <sz val="10"/>
        <rFont val="Arial"/>
        <family val="0"/>
        <charset val="1"/>
      </rPr>
      <t xml:space="preserve">/VV</t>
    </r>
  </si>
  <si>
    <t xml:space="preserve">insufferable</t>
  </si>
  <si>
    <t xml:space="preserve">견딜 수 없는</t>
  </si>
  <si>
    <r>
      <rPr>
        <sz val="10"/>
        <rFont val="Noto Sans CJK SC"/>
        <family val="2"/>
      </rPr>
      <t xml:space="preserve">견디</t>
    </r>
    <r>
      <rPr>
        <sz val="10"/>
        <rFont val="Arial"/>
        <family val="0"/>
        <charset val="1"/>
      </rPr>
      <t xml:space="preserve">/VV + </t>
    </r>
    <r>
      <rPr>
        <sz val="10"/>
        <rFont val="Noto Sans CJK SC"/>
        <family val="2"/>
      </rPr>
      <t xml:space="preserve">ᆯ</t>
    </r>
    <r>
      <rPr>
        <sz val="10"/>
        <rFont val="Arial"/>
        <family val="0"/>
        <charset val="1"/>
      </rPr>
      <t xml:space="preserve">/ETM + </t>
    </r>
    <r>
      <rPr>
        <sz val="10"/>
        <rFont val="Noto Sans CJK SC"/>
        <family val="2"/>
      </rPr>
      <t xml:space="preserve">수</t>
    </r>
    <r>
      <rPr>
        <sz val="10"/>
        <rFont val="Arial"/>
        <family val="0"/>
        <charset val="1"/>
      </rPr>
      <t xml:space="preserve">/NNB + </t>
    </r>
    <r>
      <rPr>
        <sz val="10"/>
        <rFont val="Noto Sans CJK SC"/>
        <family val="2"/>
      </rPr>
      <t xml:space="preserve">없</t>
    </r>
    <r>
      <rPr>
        <sz val="10"/>
        <rFont val="Arial"/>
        <family val="0"/>
        <charset val="1"/>
      </rPr>
      <t xml:space="preserve">/VA + </t>
    </r>
    <r>
      <rPr>
        <sz val="10"/>
        <rFont val="Noto Sans CJK SC"/>
        <family val="2"/>
      </rPr>
      <t xml:space="preserve">는</t>
    </r>
    <r>
      <rPr>
        <sz val="10"/>
        <rFont val="Arial"/>
        <family val="0"/>
        <charset val="1"/>
      </rPr>
      <t xml:space="preserve">/ETM</t>
    </r>
  </si>
  <si>
    <r>
      <rPr>
        <sz val="10"/>
        <rFont val="Noto Sans CJK SC"/>
        <family val="2"/>
      </rPr>
      <t xml:space="preserve">견디</t>
    </r>
    <r>
      <rPr>
        <sz val="10"/>
        <rFont val="Arial"/>
        <family val="0"/>
        <charset val="1"/>
      </rPr>
      <t xml:space="preserve">/VV + </t>
    </r>
    <r>
      <rPr>
        <sz val="10"/>
        <rFont val="Noto Sans CJK SC"/>
        <family val="2"/>
      </rPr>
      <t xml:space="preserve">없</t>
    </r>
    <r>
      <rPr>
        <sz val="10"/>
        <rFont val="Arial"/>
        <family val="0"/>
        <charset val="1"/>
      </rPr>
      <t xml:space="preserve">/VA</t>
    </r>
  </si>
  <si>
    <t xml:space="preserve">scandal</t>
  </si>
  <si>
    <t xml:space="preserve">스캔들</t>
  </si>
  <si>
    <r>
      <rPr>
        <sz val="10"/>
        <rFont val="Noto Sans CJK SC"/>
        <family val="2"/>
      </rPr>
      <t xml:space="preserve">스캔들</t>
    </r>
    <r>
      <rPr>
        <sz val="10"/>
        <rFont val="Arial"/>
        <family val="0"/>
        <charset val="1"/>
      </rPr>
      <t xml:space="preserve">/NNG</t>
    </r>
  </si>
  <si>
    <t xml:space="preserve">fed-up</t>
  </si>
  <si>
    <t xml:space="preserve">넌더리</t>
  </si>
  <si>
    <r>
      <rPr>
        <sz val="10"/>
        <rFont val="Noto Sans CJK SC"/>
        <family val="2"/>
      </rPr>
      <t xml:space="preserve">넌더리</t>
    </r>
    <r>
      <rPr>
        <sz val="10"/>
        <rFont val="Arial"/>
        <family val="0"/>
        <charset val="1"/>
      </rPr>
      <t xml:space="preserve">/NNG</t>
    </r>
  </si>
  <si>
    <t xml:space="preserve">outrageous</t>
  </si>
  <si>
    <t xml:space="preserve">터무니없다</t>
  </si>
  <si>
    <r>
      <rPr>
        <sz val="10"/>
        <rFont val="Noto Sans CJK SC"/>
        <family val="2"/>
      </rPr>
      <t xml:space="preserve">터무니없</t>
    </r>
    <r>
      <rPr>
        <sz val="10"/>
        <rFont val="Arial"/>
        <family val="0"/>
        <charset val="1"/>
      </rPr>
      <t xml:space="preserve">/VA + 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/EF</t>
    </r>
  </si>
  <si>
    <r>
      <rPr>
        <sz val="10"/>
        <rFont val="Noto Sans CJK SC"/>
        <family val="2"/>
      </rPr>
      <t xml:space="preserve">터무니없</t>
    </r>
    <r>
      <rPr>
        <sz val="10"/>
        <rFont val="Arial"/>
        <family val="0"/>
        <charset val="1"/>
      </rPr>
      <t xml:space="preserve">/VA</t>
    </r>
  </si>
  <si>
    <t xml:space="preserve">aversion</t>
  </si>
  <si>
    <t xml:space="preserve">annoy</t>
  </si>
  <si>
    <t xml:space="preserve">reprehensible</t>
  </si>
  <si>
    <t xml:space="preserve">비난받을</t>
  </si>
  <si>
    <r>
      <rPr>
        <sz val="10"/>
        <rFont val="Noto Sans CJK SC"/>
        <family val="2"/>
      </rPr>
      <t xml:space="preserve">비난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받</t>
    </r>
    <r>
      <rPr>
        <sz val="10"/>
        <rFont val="Arial"/>
        <family val="0"/>
        <charset val="1"/>
      </rPr>
      <t xml:space="preserve">/VV + </t>
    </r>
    <r>
      <rPr>
        <sz val="10"/>
        <rFont val="Noto Sans CJK SC"/>
        <family val="2"/>
      </rPr>
      <t xml:space="preserve">을</t>
    </r>
    <r>
      <rPr>
        <sz val="10"/>
        <rFont val="Arial"/>
        <family val="0"/>
        <charset val="1"/>
      </rPr>
      <t xml:space="preserve">/ETM</t>
    </r>
  </si>
  <si>
    <r>
      <rPr>
        <sz val="10"/>
        <rFont val="Noto Sans CJK SC"/>
        <family val="2"/>
      </rPr>
      <t xml:space="preserve">비난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받</t>
    </r>
    <r>
      <rPr>
        <sz val="10"/>
        <rFont val="Arial"/>
        <family val="0"/>
        <charset val="1"/>
      </rPr>
      <t xml:space="preserve">/VV</t>
    </r>
  </si>
  <si>
    <r>
      <rPr>
        <sz val="10"/>
        <rFont val="Noto Sans CJK SC"/>
        <family val="2"/>
      </rPr>
      <t xml:space="preserve">분석 확인 필요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句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매칭</t>
    </r>
  </si>
  <si>
    <t xml:space="preserve">distaste</t>
  </si>
  <si>
    <t xml:space="preserve">불쾌감</t>
  </si>
  <si>
    <r>
      <rPr>
        <sz val="10"/>
        <rFont val="Noto Sans CJK SC"/>
        <family val="2"/>
      </rPr>
      <t xml:space="preserve">불쾌감</t>
    </r>
    <r>
      <rPr>
        <sz val="10"/>
        <rFont val="Arial"/>
        <family val="0"/>
        <charset val="1"/>
      </rPr>
      <t xml:space="preserve">/NNG</t>
    </r>
  </si>
  <si>
    <t xml:space="preserve">unsavoury</t>
  </si>
  <si>
    <t xml:space="preserve">불미스럽다</t>
  </si>
  <si>
    <r>
      <rPr>
        <sz val="10"/>
        <rFont val="Noto Sans CJK SC"/>
        <family val="2"/>
      </rPr>
      <t xml:space="preserve">불미</t>
    </r>
    <r>
      <rPr>
        <sz val="10"/>
        <rFont val="Arial"/>
        <family val="0"/>
        <charset val="1"/>
      </rPr>
      <t xml:space="preserve">/XR + </t>
    </r>
    <r>
      <rPr>
        <sz val="10"/>
        <rFont val="Noto Sans CJK SC"/>
        <family val="2"/>
      </rPr>
      <t xml:space="preserve">스럽</t>
    </r>
    <r>
      <rPr>
        <sz val="10"/>
        <rFont val="Arial"/>
        <family val="0"/>
        <charset val="1"/>
      </rPr>
      <t xml:space="preserve">/XSA + 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/EC</t>
    </r>
  </si>
  <si>
    <r>
      <rPr>
        <sz val="10"/>
        <rFont val="Noto Sans CJK SC"/>
        <family val="2"/>
      </rPr>
      <t xml:space="preserve">불미</t>
    </r>
    <r>
      <rPr>
        <sz val="10"/>
        <rFont val="Arial"/>
        <family val="0"/>
        <charset val="1"/>
      </rPr>
      <t xml:space="preserve">/XR</t>
    </r>
  </si>
  <si>
    <t xml:space="preserve">vile</t>
  </si>
  <si>
    <t xml:space="preserve">foul</t>
  </si>
  <si>
    <t xml:space="preserve">더럽다</t>
  </si>
  <si>
    <r>
      <rPr>
        <sz val="10"/>
        <rFont val="Noto Sans CJK SC"/>
        <family val="2"/>
      </rPr>
      <t xml:space="preserve">더럽</t>
    </r>
    <r>
      <rPr>
        <sz val="10"/>
        <rFont val="Arial"/>
        <family val="0"/>
        <charset val="1"/>
      </rPr>
      <t xml:space="preserve">/VA + 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/EC</t>
    </r>
  </si>
  <si>
    <r>
      <rPr>
        <sz val="10"/>
        <rFont val="Noto Sans CJK SC"/>
        <family val="2"/>
      </rPr>
      <t xml:space="preserve">더럽</t>
    </r>
    <r>
      <rPr>
        <sz val="10"/>
        <rFont val="Arial"/>
        <family val="0"/>
        <charset val="1"/>
      </rPr>
      <t xml:space="preserve">/VA</t>
    </r>
  </si>
  <si>
    <t xml:space="preserve">vulgar</t>
  </si>
  <si>
    <t xml:space="preserve">저속</t>
  </si>
  <si>
    <r>
      <rPr>
        <sz val="10"/>
        <rFont val="Noto Sans CJK SC"/>
        <family val="2"/>
      </rPr>
      <t xml:space="preserve">저속</t>
    </r>
    <r>
      <rPr>
        <sz val="10"/>
        <rFont val="Arial"/>
        <family val="0"/>
        <charset val="1"/>
      </rPr>
      <t xml:space="preserve">/NNG</t>
    </r>
  </si>
  <si>
    <t xml:space="preserve">odious</t>
  </si>
  <si>
    <t xml:space="preserve">가증</t>
  </si>
  <si>
    <r>
      <rPr>
        <sz val="10"/>
        <rFont val="Noto Sans CJK SC"/>
        <family val="2"/>
      </rPr>
      <t xml:space="preserve">가증</t>
    </r>
    <r>
      <rPr>
        <sz val="10"/>
        <rFont val="Arial"/>
        <family val="0"/>
        <charset val="1"/>
      </rPr>
      <t xml:space="preserve">/XR</t>
    </r>
  </si>
  <si>
    <t xml:space="preserve">stink</t>
  </si>
  <si>
    <t xml:space="preserve">악취</t>
  </si>
  <si>
    <r>
      <rPr>
        <sz val="10"/>
        <rFont val="Noto Sans CJK SC"/>
        <family val="2"/>
      </rPr>
      <t xml:space="preserve">악취</t>
    </r>
    <r>
      <rPr>
        <sz val="10"/>
        <rFont val="Arial"/>
        <family val="0"/>
        <charset val="1"/>
      </rPr>
      <t xml:space="preserve">/NNG</t>
    </r>
  </si>
  <si>
    <t xml:space="preserve">abhorrent</t>
  </si>
  <si>
    <t xml:space="preserve">혐오스럽다</t>
  </si>
  <si>
    <r>
      <rPr>
        <sz val="10"/>
        <rFont val="Noto Sans CJK SC"/>
        <family val="2"/>
      </rPr>
      <t xml:space="preserve">혐오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스럽</t>
    </r>
    <r>
      <rPr>
        <sz val="10"/>
        <rFont val="Arial"/>
        <family val="0"/>
        <charset val="1"/>
      </rPr>
      <t xml:space="preserve">/XSA + 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/EF</t>
    </r>
  </si>
  <si>
    <t xml:space="preserve">abomination</t>
  </si>
  <si>
    <t xml:space="preserve">loath</t>
  </si>
  <si>
    <t xml:space="preserve">detestable</t>
  </si>
  <si>
    <t xml:space="preserve">hatred</t>
  </si>
  <si>
    <t xml:space="preserve">증오</t>
  </si>
  <si>
    <r>
      <rPr>
        <sz val="10"/>
        <rFont val="Noto Sans CJK SC"/>
        <family val="2"/>
      </rPr>
      <t xml:space="preserve">증오</t>
    </r>
    <r>
      <rPr>
        <sz val="10"/>
        <rFont val="Arial"/>
        <family val="0"/>
        <charset val="1"/>
      </rPr>
      <t xml:space="preserve">/NNG</t>
    </r>
  </si>
  <si>
    <t xml:space="preserve">hate</t>
  </si>
  <si>
    <t xml:space="preserve">dislike</t>
  </si>
  <si>
    <t xml:space="preserve">싫어하다</t>
  </si>
  <si>
    <r>
      <rPr>
        <sz val="10"/>
        <rFont val="Noto Sans CJK SC"/>
        <family val="2"/>
      </rPr>
      <t xml:space="preserve">싫어하</t>
    </r>
    <r>
      <rPr>
        <sz val="10"/>
        <rFont val="Arial"/>
        <family val="0"/>
        <charset val="1"/>
      </rPr>
      <t xml:space="preserve">/VV + 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/EF</t>
    </r>
  </si>
  <si>
    <r>
      <rPr>
        <sz val="10"/>
        <rFont val="Noto Sans CJK SC"/>
        <family val="2"/>
      </rPr>
      <t xml:space="preserve">싫어하</t>
    </r>
    <r>
      <rPr>
        <sz val="10"/>
        <rFont val="Arial"/>
        <family val="0"/>
        <charset val="1"/>
      </rPr>
      <t xml:space="preserve">/VV</t>
    </r>
  </si>
  <si>
    <t xml:space="preserve">unlikable</t>
  </si>
  <si>
    <t xml:space="preserve">비호감</t>
  </si>
  <si>
    <r>
      <rPr>
        <sz val="10"/>
        <rFont val="Noto Sans CJK SC"/>
        <family val="2"/>
      </rPr>
      <t xml:space="preserve">비</t>
    </r>
    <r>
      <rPr>
        <sz val="10"/>
        <rFont val="Arial"/>
        <family val="0"/>
        <charset val="1"/>
      </rPr>
      <t xml:space="preserve">/XPN + </t>
    </r>
    <r>
      <rPr>
        <sz val="10"/>
        <rFont val="Noto Sans CJK SC"/>
        <family val="2"/>
      </rPr>
      <t xml:space="preserve">호감</t>
    </r>
    <r>
      <rPr>
        <sz val="10"/>
        <rFont val="Arial"/>
        <family val="0"/>
        <charset val="1"/>
      </rPr>
      <t xml:space="preserve">/NNG</t>
    </r>
  </si>
  <si>
    <t xml:space="preserve">repugnant</t>
  </si>
  <si>
    <t xml:space="preserve">animosity</t>
  </si>
  <si>
    <t xml:space="preserve">적대감</t>
  </si>
  <si>
    <r>
      <rPr>
        <sz val="10"/>
        <rFont val="Noto Sans CJK SC"/>
        <family val="2"/>
      </rPr>
      <t xml:space="preserve">적대감</t>
    </r>
    <r>
      <rPr>
        <sz val="10"/>
        <rFont val="Arial"/>
        <family val="0"/>
        <charset val="1"/>
      </rPr>
      <t xml:space="preserve">/NNG</t>
    </r>
  </si>
  <si>
    <t xml:space="preserve">repel</t>
  </si>
  <si>
    <t xml:space="preserve">반발</t>
  </si>
  <si>
    <r>
      <rPr>
        <sz val="10"/>
        <rFont val="Noto Sans CJK SC"/>
        <family val="2"/>
      </rPr>
      <t xml:space="preserve">반발</t>
    </r>
    <r>
      <rPr>
        <sz val="10"/>
        <rFont val="Arial"/>
        <family val="0"/>
        <charset val="1"/>
      </rPr>
      <t xml:space="preserve">/NNG</t>
    </r>
  </si>
  <si>
    <r>
      <rPr>
        <sz val="10"/>
        <rFont val="Arial"/>
        <family val="0"/>
        <charset val="1"/>
      </rPr>
      <t xml:space="preserve">Ethos(</t>
    </r>
    <r>
      <rPr>
        <sz val="10"/>
        <rFont val="Noto Sans CJK SC"/>
        <family val="2"/>
      </rPr>
      <t xml:space="preserve">성품</t>
    </r>
    <r>
      <rPr>
        <sz val="10"/>
        <rFont val="Arial"/>
        <family val="0"/>
        <charset val="1"/>
      </rPr>
      <t xml:space="preserve">)</t>
    </r>
  </si>
  <si>
    <t xml:space="preserve">moral</t>
  </si>
  <si>
    <t xml:space="preserve">도덕</t>
  </si>
  <si>
    <r>
      <rPr>
        <sz val="10"/>
        <rFont val="Noto Sans CJK SC"/>
        <family val="2"/>
      </rPr>
      <t xml:space="preserve">도덕</t>
    </r>
    <r>
      <rPr>
        <sz val="10"/>
        <rFont val="Arial"/>
        <family val="0"/>
        <charset val="1"/>
      </rPr>
      <t xml:space="preserve">/NNG</t>
    </r>
  </si>
  <si>
    <t xml:space="preserve">righteous</t>
  </si>
  <si>
    <t xml:space="preserve">정의롭다</t>
  </si>
  <si>
    <r>
      <rPr>
        <sz val="10"/>
        <rFont val="Noto Sans CJK SC"/>
        <family val="2"/>
      </rPr>
      <t xml:space="preserve">정의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롭</t>
    </r>
    <r>
      <rPr>
        <sz val="10"/>
        <rFont val="Arial"/>
        <family val="0"/>
        <charset val="1"/>
      </rPr>
      <t xml:space="preserve">/XSA + 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/EC</t>
    </r>
  </si>
  <si>
    <r>
      <rPr>
        <sz val="10"/>
        <rFont val="Noto Sans CJK SC"/>
        <family val="2"/>
      </rPr>
      <t xml:space="preserve">정의</t>
    </r>
    <r>
      <rPr>
        <sz val="10"/>
        <rFont val="Arial"/>
        <family val="0"/>
        <charset val="1"/>
      </rPr>
      <t xml:space="preserve">/NNG</t>
    </r>
  </si>
  <si>
    <t xml:space="preserve">noble</t>
  </si>
  <si>
    <t xml:space="preserve">고귀</t>
  </si>
  <si>
    <r>
      <rPr>
        <sz val="10"/>
        <rFont val="Noto Sans CJK SC"/>
        <family val="2"/>
      </rPr>
      <t xml:space="preserve">고귀</t>
    </r>
    <r>
      <rPr>
        <sz val="10"/>
        <rFont val="Arial"/>
        <family val="0"/>
        <charset val="1"/>
      </rPr>
      <t xml:space="preserve">/XR</t>
    </r>
  </si>
  <si>
    <t xml:space="preserve">straightforward</t>
  </si>
  <si>
    <t xml:space="preserve">정직</t>
  </si>
  <si>
    <r>
      <rPr>
        <sz val="10"/>
        <rFont val="Noto Sans CJK SC"/>
        <family val="2"/>
      </rPr>
      <t xml:space="preserve">정직</t>
    </r>
    <r>
      <rPr>
        <sz val="10"/>
        <rFont val="Arial"/>
        <family val="0"/>
        <charset val="1"/>
      </rPr>
      <t xml:space="preserve">/NNG</t>
    </r>
  </si>
  <si>
    <t xml:space="preserve">principle</t>
  </si>
  <si>
    <t xml:space="preserve">원칙</t>
  </si>
  <si>
    <r>
      <rPr>
        <sz val="10"/>
        <rFont val="Noto Sans CJK SC"/>
        <family val="2"/>
      </rPr>
      <t xml:space="preserve">원칙</t>
    </r>
    <r>
      <rPr>
        <sz val="10"/>
        <rFont val="Arial"/>
        <family val="0"/>
        <charset val="1"/>
      </rPr>
      <t xml:space="preserve">/NNG</t>
    </r>
  </si>
  <si>
    <t xml:space="preserve">innocent</t>
  </si>
  <si>
    <t xml:space="preserve">무고</t>
  </si>
  <si>
    <r>
      <rPr>
        <sz val="10"/>
        <rFont val="Noto Sans CJK SC"/>
        <family val="2"/>
      </rPr>
      <t xml:space="preserve">무고</t>
    </r>
    <r>
      <rPr>
        <sz val="10"/>
        <rFont val="Arial"/>
        <family val="0"/>
        <charset val="1"/>
      </rPr>
      <t xml:space="preserve">/NNG</t>
    </r>
  </si>
  <si>
    <t xml:space="preserve">precept</t>
  </si>
  <si>
    <t xml:space="preserve">교훈</t>
  </si>
  <si>
    <r>
      <rPr>
        <sz val="10"/>
        <rFont val="Noto Sans CJK SC"/>
        <family val="2"/>
      </rPr>
      <t xml:space="preserve">교훈</t>
    </r>
    <r>
      <rPr>
        <sz val="10"/>
        <rFont val="Arial"/>
        <family val="0"/>
        <charset val="1"/>
      </rPr>
      <t xml:space="preserve">/NNG</t>
    </r>
  </si>
  <si>
    <t xml:space="preserve">proverb</t>
  </si>
  <si>
    <t xml:space="preserve">격언</t>
  </si>
  <si>
    <r>
      <rPr>
        <sz val="10"/>
        <rFont val="Noto Sans CJK SC"/>
        <family val="2"/>
      </rPr>
      <t xml:space="preserve">격언</t>
    </r>
    <r>
      <rPr>
        <sz val="10"/>
        <rFont val="Arial"/>
        <family val="0"/>
        <charset val="1"/>
      </rPr>
      <t xml:space="preserve">/NNG</t>
    </r>
  </si>
  <si>
    <t xml:space="preserve">manners</t>
  </si>
  <si>
    <t xml:space="preserve">예의</t>
  </si>
  <si>
    <r>
      <rPr>
        <sz val="10"/>
        <rFont val="Noto Sans CJK SC"/>
        <family val="2"/>
      </rPr>
      <t xml:space="preserve">예의</t>
    </r>
    <r>
      <rPr>
        <sz val="10"/>
        <rFont val="Arial"/>
        <family val="0"/>
        <charset val="1"/>
      </rPr>
      <t xml:space="preserve">/NNG</t>
    </r>
  </si>
  <si>
    <t xml:space="preserve">fidelity</t>
  </si>
  <si>
    <t xml:space="preserve">충실</t>
  </si>
  <si>
    <r>
      <rPr>
        <sz val="10"/>
        <rFont val="Noto Sans CJK SC"/>
        <family val="2"/>
      </rPr>
      <t xml:space="preserve">충실</t>
    </r>
    <r>
      <rPr>
        <sz val="10"/>
        <rFont val="Arial"/>
        <family val="0"/>
        <charset val="1"/>
      </rPr>
      <t xml:space="preserve">/NNG</t>
    </r>
  </si>
  <si>
    <t xml:space="preserve">seemliness</t>
  </si>
  <si>
    <t xml:space="preserve">품위</t>
  </si>
  <si>
    <r>
      <rPr>
        <sz val="10"/>
        <rFont val="Noto Sans CJK SC"/>
        <family val="2"/>
      </rPr>
      <t xml:space="preserve">품위</t>
    </r>
    <r>
      <rPr>
        <sz val="10"/>
        <rFont val="Arial"/>
        <family val="0"/>
        <charset val="1"/>
      </rPr>
      <t xml:space="preserve">/NNG</t>
    </r>
  </si>
  <si>
    <t xml:space="preserve">conscience</t>
  </si>
  <si>
    <t xml:space="preserve">양심</t>
  </si>
  <si>
    <r>
      <rPr>
        <sz val="10"/>
        <rFont val="Noto Sans CJK SC"/>
        <family val="2"/>
      </rPr>
      <t xml:space="preserve">양심</t>
    </r>
    <r>
      <rPr>
        <sz val="10"/>
        <rFont val="Arial"/>
        <family val="0"/>
        <charset val="1"/>
      </rPr>
      <t xml:space="preserve">/NNG</t>
    </r>
  </si>
  <si>
    <t xml:space="preserve">corrupt</t>
  </si>
  <si>
    <t xml:space="preserve">부패</t>
  </si>
  <si>
    <r>
      <rPr>
        <sz val="10"/>
        <rFont val="Noto Sans CJK SC"/>
        <family val="2"/>
      </rPr>
      <t xml:space="preserve">부패</t>
    </r>
    <r>
      <rPr>
        <sz val="10"/>
        <rFont val="Arial"/>
        <family val="0"/>
        <charset val="1"/>
      </rPr>
      <t xml:space="preserve">/NNG</t>
    </r>
  </si>
  <si>
    <t xml:space="preserve">character</t>
  </si>
  <si>
    <t xml:space="preserve">성품</t>
  </si>
  <si>
    <r>
      <rPr>
        <sz val="10"/>
        <rFont val="Noto Sans CJK SC"/>
        <family val="2"/>
      </rPr>
      <t xml:space="preserve">성품</t>
    </r>
    <r>
      <rPr>
        <sz val="10"/>
        <rFont val="Arial"/>
        <family val="0"/>
        <charset val="1"/>
      </rPr>
      <t xml:space="preserve">/NNG</t>
    </r>
  </si>
  <si>
    <t xml:space="preserve">인성</t>
  </si>
  <si>
    <r>
      <rPr>
        <sz val="10"/>
        <rFont val="Noto Sans CJK SC"/>
        <family val="2"/>
      </rPr>
      <t xml:space="preserve">인성</t>
    </r>
    <r>
      <rPr>
        <sz val="10"/>
        <rFont val="Arial"/>
        <family val="0"/>
        <charset val="1"/>
      </rPr>
      <t xml:space="preserve">/NNG</t>
    </r>
  </si>
  <si>
    <t xml:space="preserve">reputation</t>
  </si>
  <si>
    <t xml:space="preserve">평판</t>
  </si>
  <si>
    <r>
      <rPr>
        <sz val="10"/>
        <rFont val="Noto Sans CJK SC"/>
        <family val="2"/>
      </rPr>
      <t xml:space="preserve">평판</t>
    </r>
    <r>
      <rPr>
        <sz val="10"/>
        <rFont val="Arial"/>
        <family val="0"/>
        <charset val="1"/>
      </rPr>
      <t xml:space="preserve">/NNG</t>
    </r>
  </si>
  <si>
    <t xml:space="preserve">명성</t>
  </si>
  <si>
    <r>
      <rPr>
        <sz val="10"/>
        <rFont val="Noto Sans CJK SC"/>
        <family val="2"/>
      </rPr>
      <t xml:space="preserve">명성</t>
    </r>
    <r>
      <rPr>
        <sz val="10"/>
        <rFont val="Arial"/>
        <family val="0"/>
        <charset val="1"/>
      </rPr>
      <t xml:space="preserve">/NNG</t>
    </r>
  </si>
  <si>
    <t xml:space="preserve">repute</t>
  </si>
  <si>
    <t xml:space="preserve">status</t>
  </si>
  <si>
    <t xml:space="preserve">위상</t>
  </si>
  <si>
    <r>
      <rPr>
        <sz val="10"/>
        <rFont val="Noto Sans CJK SC"/>
        <family val="2"/>
      </rPr>
      <t xml:space="preserve">위상</t>
    </r>
    <r>
      <rPr>
        <sz val="10"/>
        <rFont val="Arial"/>
        <family val="0"/>
        <charset val="1"/>
      </rPr>
      <t xml:space="preserve">/NNG</t>
    </r>
  </si>
  <si>
    <t xml:space="preserve">지위</t>
  </si>
  <si>
    <r>
      <rPr>
        <sz val="10"/>
        <rFont val="Noto Sans CJK SC"/>
        <family val="2"/>
      </rPr>
      <t xml:space="preserve">지위</t>
    </r>
    <r>
      <rPr>
        <sz val="10"/>
        <rFont val="Arial"/>
        <family val="0"/>
        <charset val="1"/>
      </rPr>
      <t xml:space="preserve">/NNG</t>
    </r>
  </si>
  <si>
    <t xml:space="preserve">good-standing</t>
  </si>
  <si>
    <t xml:space="preserve">신용 양호</t>
  </si>
  <si>
    <r>
      <rPr>
        <sz val="10"/>
        <rFont val="Noto Sans CJK SC"/>
        <family val="2"/>
      </rPr>
      <t xml:space="preserve">신용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양호</t>
    </r>
    <r>
      <rPr>
        <sz val="10"/>
        <rFont val="Arial"/>
        <family val="0"/>
        <charset val="1"/>
      </rPr>
      <t xml:space="preserve">/NNG</t>
    </r>
  </si>
  <si>
    <t xml:space="preserve">glory</t>
  </si>
  <si>
    <t xml:space="preserve">영광</t>
  </si>
  <si>
    <r>
      <rPr>
        <sz val="10"/>
        <rFont val="Noto Sans CJK SC"/>
        <family val="2"/>
      </rPr>
      <t xml:space="preserve">영광</t>
    </r>
    <r>
      <rPr>
        <sz val="10"/>
        <rFont val="Arial"/>
        <family val="0"/>
        <charset val="1"/>
      </rPr>
      <t xml:space="preserve">/NNG</t>
    </r>
  </si>
  <si>
    <t xml:space="preserve">prestige</t>
  </si>
  <si>
    <t xml:space="preserve">위신</t>
  </si>
  <si>
    <r>
      <rPr>
        <sz val="10"/>
        <rFont val="Noto Sans CJK SC"/>
        <family val="2"/>
      </rPr>
      <t xml:space="preserve">위신</t>
    </r>
    <r>
      <rPr>
        <sz val="10"/>
        <rFont val="Arial"/>
        <family val="0"/>
        <charset val="1"/>
      </rPr>
      <t xml:space="preserve">/NNG</t>
    </r>
  </si>
  <si>
    <t xml:space="preserve">권위</t>
  </si>
  <si>
    <r>
      <rPr>
        <sz val="10"/>
        <rFont val="Noto Sans CJK SC"/>
        <family val="2"/>
      </rPr>
      <t xml:space="preserve">권위</t>
    </r>
    <r>
      <rPr>
        <sz val="10"/>
        <rFont val="Arial"/>
        <family val="0"/>
        <charset val="1"/>
      </rPr>
      <t xml:space="preserve">/NNG</t>
    </r>
  </si>
  <si>
    <t xml:space="preserve">esteem</t>
  </si>
  <si>
    <t xml:space="preserve">존경</t>
  </si>
  <si>
    <r>
      <rPr>
        <sz val="10"/>
        <rFont val="Noto Sans CJK SC"/>
        <family val="2"/>
      </rPr>
      <t xml:space="preserve">존경</t>
    </r>
    <r>
      <rPr>
        <sz val="10"/>
        <rFont val="Arial"/>
        <family val="0"/>
        <charset val="1"/>
      </rPr>
      <t xml:space="preserve">/NNG</t>
    </r>
  </si>
  <si>
    <t xml:space="preserve">courage</t>
  </si>
  <si>
    <t xml:space="preserve">용기</t>
  </si>
  <si>
    <r>
      <rPr>
        <sz val="10"/>
        <rFont val="Noto Sans CJK SC"/>
        <family val="2"/>
      </rPr>
      <t xml:space="preserve">용기</t>
    </r>
    <r>
      <rPr>
        <sz val="10"/>
        <rFont val="Arial"/>
        <family val="0"/>
        <charset val="1"/>
      </rPr>
      <t xml:space="preserve">/NNG</t>
    </r>
  </si>
  <si>
    <t xml:space="preserve">strength</t>
  </si>
  <si>
    <t xml:space="preserve">강점</t>
  </si>
  <si>
    <r>
      <rPr>
        <sz val="10"/>
        <rFont val="Noto Sans CJK SC"/>
        <family val="2"/>
      </rPr>
      <t xml:space="preserve">강점</t>
    </r>
    <r>
      <rPr>
        <sz val="10"/>
        <rFont val="Arial"/>
        <family val="0"/>
        <charset val="1"/>
      </rPr>
      <t xml:space="preserve">/NNG</t>
    </r>
  </si>
  <si>
    <t xml:space="preserve">fortitude</t>
  </si>
  <si>
    <t xml:space="preserve">불굴</t>
  </si>
  <si>
    <r>
      <rPr>
        <sz val="10"/>
        <rFont val="Noto Sans CJK SC"/>
        <family val="2"/>
      </rPr>
      <t xml:space="preserve">불굴</t>
    </r>
    <r>
      <rPr>
        <sz val="10"/>
        <rFont val="Arial"/>
        <family val="0"/>
        <charset val="1"/>
      </rPr>
      <t xml:space="preserve">/NNG</t>
    </r>
  </si>
  <si>
    <t xml:space="preserve">sincere</t>
  </si>
  <si>
    <t xml:space="preserve">진정성</t>
  </si>
  <si>
    <r>
      <rPr>
        <sz val="10"/>
        <rFont val="Noto Sans CJK SC"/>
        <family val="2"/>
      </rPr>
      <t xml:space="preserve">진정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성</t>
    </r>
    <r>
      <rPr>
        <sz val="10"/>
        <rFont val="Arial"/>
        <family val="0"/>
        <charset val="1"/>
      </rPr>
      <t xml:space="preserve">/XSN</t>
    </r>
  </si>
  <si>
    <r>
      <rPr>
        <sz val="10"/>
        <rFont val="Noto Sans CJK SC"/>
        <family val="2"/>
      </rPr>
      <t xml:space="preserve">진정</t>
    </r>
    <r>
      <rPr>
        <sz val="10"/>
        <rFont val="Arial"/>
        <family val="0"/>
        <charset val="1"/>
      </rPr>
      <t xml:space="preserve">/NNG</t>
    </r>
  </si>
  <si>
    <t xml:space="preserve">resolute</t>
  </si>
  <si>
    <t xml:space="preserve">brave</t>
  </si>
  <si>
    <t xml:space="preserve">용감</t>
  </si>
  <si>
    <r>
      <rPr>
        <sz val="10"/>
        <rFont val="Noto Sans CJK SC"/>
        <family val="2"/>
      </rPr>
      <t xml:space="preserve">용감</t>
    </r>
    <r>
      <rPr>
        <sz val="10"/>
        <rFont val="Arial"/>
        <family val="0"/>
        <charset val="1"/>
      </rPr>
      <t xml:space="preserve">/XR</t>
    </r>
  </si>
  <si>
    <t xml:space="preserve">heroic</t>
  </si>
  <si>
    <t xml:space="preserve">영웅적</t>
  </si>
  <si>
    <r>
      <rPr>
        <sz val="10"/>
        <rFont val="Noto Sans CJK SC"/>
        <family val="2"/>
      </rPr>
      <t xml:space="preserve">영웅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적</t>
    </r>
    <r>
      <rPr>
        <sz val="10"/>
        <rFont val="Arial"/>
        <family val="0"/>
        <charset val="1"/>
      </rPr>
      <t xml:space="preserve">/XSN</t>
    </r>
  </si>
  <si>
    <r>
      <rPr>
        <sz val="10"/>
        <rFont val="Noto Sans CJK SC"/>
        <family val="2"/>
      </rPr>
      <t xml:space="preserve">영웅</t>
    </r>
    <r>
      <rPr>
        <sz val="10"/>
        <rFont val="Arial"/>
        <family val="0"/>
        <charset val="1"/>
      </rPr>
      <t xml:space="preserve">/NNG</t>
    </r>
  </si>
  <si>
    <t xml:space="preserve">self-reliant</t>
  </si>
  <si>
    <t xml:space="preserve">자립</t>
  </si>
  <si>
    <r>
      <rPr>
        <sz val="10"/>
        <rFont val="Noto Sans CJK SC"/>
        <family val="2"/>
      </rPr>
      <t xml:space="preserve">자립</t>
    </r>
    <r>
      <rPr>
        <sz val="10"/>
        <rFont val="Arial"/>
        <family val="0"/>
        <charset val="1"/>
      </rPr>
      <t xml:space="preserve">/NNG</t>
    </r>
  </si>
  <si>
    <t xml:space="preserve">strive</t>
  </si>
  <si>
    <t xml:space="preserve">노력</t>
  </si>
  <si>
    <r>
      <rPr>
        <sz val="10"/>
        <rFont val="Noto Sans CJK SC"/>
        <family val="2"/>
      </rPr>
      <t xml:space="preserve">노력</t>
    </r>
    <r>
      <rPr>
        <sz val="10"/>
        <rFont val="Arial"/>
        <family val="0"/>
        <charset val="1"/>
      </rPr>
      <t xml:space="preserve">/NNG</t>
    </r>
  </si>
  <si>
    <t xml:space="preserve">분투</t>
  </si>
  <si>
    <r>
      <rPr>
        <sz val="10"/>
        <rFont val="Noto Sans CJK SC"/>
        <family val="2"/>
      </rPr>
      <t xml:space="preserve">분투</t>
    </r>
    <r>
      <rPr>
        <sz val="10"/>
        <rFont val="Arial"/>
        <family val="0"/>
        <charset val="1"/>
      </rPr>
      <t xml:space="preserve">/NNG</t>
    </r>
  </si>
  <si>
    <t xml:space="preserve">tenacious</t>
  </si>
  <si>
    <t xml:space="preserve">끈기</t>
  </si>
  <si>
    <r>
      <rPr>
        <sz val="10"/>
        <rFont val="Noto Sans CJK SC"/>
        <family val="2"/>
      </rPr>
      <t xml:space="preserve">끈기</t>
    </r>
    <r>
      <rPr>
        <sz val="10"/>
        <rFont val="Arial"/>
        <family val="0"/>
        <charset val="1"/>
      </rPr>
      <t xml:space="preserve">/NNG</t>
    </r>
  </si>
  <si>
    <t xml:space="preserve">valiant</t>
  </si>
  <si>
    <t xml:space="preserve">용맹</t>
  </si>
  <si>
    <r>
      <rPr>
        <sz val="10"/>
        <rFont val="Noto Sans CJK SC"/>
        <family val="2"/>
      </rPr>
      <t xml:space="preserve">용맹</t>
    </r>
    <r>
      <rPr>
        <sz val="10"/>
        <rFont val="Arial"/>
        <family val="0"/>
        <charset val="1"/>
      </rPr>
      <t xml:space="preserve">/NNG</t>
    </r>
  </si>
  <si>
    <t xml:space="preserve">wisdom</t>
  </si>
  <si>
    <t xml:space="preserve">지혜</t>
  </si>
  <si>
    <r>
      <rPr>
        <sz val="10"/>
        <rFont val="Noto Sans CJK SC"/>
        <family val="2"/>
      </rPr>
      <t xml:space="preserve">지혜</t>
    </r>
    <r>
      <rPr>
        <sz val="10"/>
        <rFont val="Arial"/>
        <family val="0"/>
        <charset val="1"/>
      </rPr>
      <t xml:space="preserve">/NNG</t>
    </r>
  </si>
  <si>
    <t xml:space="preserve">insight</t>
  </si>
  <si>
    <t xml:space="preserve">통찰</t>
  </si>
  <si>
    <r>
      <rPr>
        <sz val="10"/>
        <rFont val="Noto Sans CJK SC"/>
        <family val="2"/>
      </rPr>
      <t xml:space="preserve">통찰</t>
    </r>
    <r>
      <rPr>
        <sz val="10"/>
        <rFont val="Arial"/>
        <family val="0"/>
        <charset val="1"/>
      </rPr>
      <t xml:space="preserve">/NNG</t>
    </r>
  </si>
  <si>
    <t xml:space="preserve">인사이트</t>
  </si>
  <si>
    <r>
      <rPr>
        <sz val="10"/>
        <rFont val="Noto Sans CJK SC"/>
        <family val="2"/>
      </rPr>
      <t xml:space="preserve">인사이트</t>
    </r>
    <r>
      <rPr>
        <sz val="10"/>
        <rFont val="Arial"/>
        <family val="0"/>
        <charset val="1"/>
      </rPr>
      <t xml:space="preserve">/NNP</t>
    </r>
  </si>
  <si>
    <t xml:space="preserve">foresight</t>
  </si>
  <si>
    <t xml:space="preserve">선견지명</t>
  </si>
  <si>
    <r>
      <rPr>
        <sz val="10"/>
        <rFont val="Noto Sans CJK SC"/>
        <family val="2"/>
      </rPr>
      <t xml:space="preserve">선견지명</t>
    </r>
    <r>
      <rPr>
        <sz val="10"/>
        <rFont val="Arial"/>
        <family val="0"/>
        <charset val="1"/>
      </rPr>
      <t xml:space="preserve">/NNG</t>
    </r>
  </si>
  <si>
    <t xml:space="preserve">prudence</t>
  </si>
  <si>
    <t xml:space="preserve">wise</t>
  </si>
  <si>
    <t xml:space="preserve">현명</t>
  </si>
  <si>
    <r>
      <rPr>
        <sz val="10"/>
        <rFont val="Noto Sans CJK SC"/>
        <family val="2"/>
      </rPr>
      <t xml:space="preserve">현명</t>
    </r>
    <r>
      <rPr>
        <sz val="10"/>
        <rFont val="Arial"/>
        <family val="0"/>
        <charset val="1"/>
      </rPr>
      <t xml:space="preserve">/NNG</t>
    </r>
  </si>
  <si>
    <t xml:space="preserve">perceptive</t>
  </si>
  <si>
    <t xml:space="preserve">통찰력</t>
  </si>
  <si>
    <r>
      <rPr>
        <sz val="10"/>
        <rFont val="Noto Sans CJK SC"/>
        <family val="2"/>
      </rPr>
      <t xml:space="preserve">통찰력</t>
    </r>
    <r>
      <rPr>
        <sz val="10"/>
        <rFont val="Arial"/>
        <family val="0"/>
        <charset val="1"/>
      </rPr>
      <t xml:space="preserve">/NNG</t>
    </r>
  </si>
  <si>
    <t xml:space="preserve">shrewd</t>
  </si>
  <si>
    <t xml:space="preserve">영리</t>
  </si>
  <si>
    <r>
      <rPr>
        <sz val="10"/>
        <rFont val="Noto Sans CJK SC"/>
        <family val="2"/>
      </rPr>
      <t xml:space="preserve">영리</t>
    </r>
    <r>
      <rPr>
        <sz val="10"/>
        <rFont val="Arial"/>
        <family val="0"/>
        <charset val="1"/>
      </rPr>
      <t xml:space="preserve">/NNG</t>
    </r>
  </si>
  <si>
    <t xml:space="preserve">enlighten</t>
  </si>
  <si>
    <t xml:space="preserve">계몽</t>
  </si>
  <si>
    <r>
      <rPr>
        <sz val="10"/>
        <rFont val="Noto Sans CJK SC"/>
        <family val="2"/>
      </rPr>
      <t xml:space="preserve">계몽</t>
    </r>
    <r>
      <rPr>
        <sz val="10"/>
        <rFont val="Arial"/>
        <family val="0"/>
        <charset val="1"/>
      </rPr>
      <t xml:space="preserve">/NNG</t>
    </r>
  </si>
  <si>
    <t xml:space="preserve">diplomatic</t>
  </si>
  <si>
    <t xml:space="preserve">외교적</t>
  </si>
  <si>
    <r>
      <rPr>
        <sz val="10"/>
        <rFont val="Noto Sans CJK SC"/>
        <family val="2"/>
      </rPr>
      <t xml:space="preserve">외교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적</t>
    </r>
    <r>
      <rPr>
        <sz val="10"/>
        <rFont val="Arial"/>
        <family val="0"/>
        <charset val="1"/>
      </rPr>
      <t xml:space="preserve">/XSN</t>
    </r>
  </si>
  <si>
    <r>
      <rPr>
        <sz val="10"/>
        <rFont val="Noto Sans CJK SC"/>
        <family val="2"/>
      </rPr>
      <t xml:space="preserve">외교</t>
    </r>
    <r>
      <rPr>
        <sz val="10"/>
        <rFont val="Arial"/>
        <family val="0"/>
        <charset val="1"/>
      </rPr>
      <t xml:space="preserve">/NNG</t>
    </r>
  </si>
  <si>
    <t xml:space="preserve">careful</t>
  </si>
  <si>
    <t xml:space="preserve">세심</t>
  </si>
  <si>
    <r>
      <rPr>
        <sz val="10"/>
        <rFont val="Noto Sans CJK SC"/>
        <family val="2"/>
      </rPr>
      <t xml:space="preserve">세심</t>
    </r>
    <r>
      <rPr>
        <sz val="10"/>
        <rFont val="Arial"/>
        <family val="0"/>
        <charset val="1"/>
      </rPr>
      <t xml:space="preserve">/XR</t>
    </r>
  </si>
  <si>
    <t xml:space="preserve">tactful</t>
  </si>
  <si>
    <t xml:space="preserve">재치</t>
  </si>
  <si>
    <r>
      <rPr>
        <sz val="10"/>
        <rFont val="Noto Sans CJK SC"/>
        <family val="2"/>
      </rPr>
      <t xml:space="preserve">재치</t>
    </r>
    <r>
      <rPr>
        <sz val="10"/>
        <rFont val="Arial"/>
        <family val="0"/>
        <charset val="1"/>
      </rPr>
      <t xml:space="preserve">/NNG</t>
    </r>
  </si>
  <si>
    <t xml:space="preserve">guru</t>
  </si>
  <si>
    <t xml:space="preserve">구루</t>
  </si>
  <si>
    <r>
      <rPr>
        <sz val="10"/>
        <rFont val="Noto Sans CJK SC"/>
        <family val="2"/>
      </rPr>
      <t xml:space="preserve">구루</t>
    </r>
    <r>
      <rPr>
        <sz val="10"/>
        <rFont val="Arial"/>
        <family val="0"/>
        <charset val="1"/>
      </rPr>
      <t xml:space="preserve">/NNP</t>
    </r>
  </si>
  <si>
    <t xml:space="preserve">권위자</t>
  </si>
  <si>
    <r>
      <rPr>
        <sz val="10"/>
        <rFont val="Noto Sans CJK SC"/>
        <family val="2"/>
      </rPr>
      <t xml:space="preserve">권위자</t>
    </r>
    <r>
      <rPr>
        <sz val="10"/>
        <rFont val="Arial"/>
        <family val="0"/>
        <charset val="1"/>
      </rPr>
      <t xml:space="preserve">/NNG</t>
    </r>
  </si>
  <si>
    <t xml:space="preserve">statesman</t>
  </si>
  <si>
    <t xml:space="preserve">정치가</t>
  </si>
  <si>
    <r>
      <rPr>
        <sz val="10"/>
        <rFont val="Noto Sans CJK SC"/>
        <family val="2"/>
      </rPr>
      <t xml:space="preserve">정치가</t>
    </r>
    <r>
      <rPr>
        <sz val="10"/>
        <rFont val="Arial"/>
        <family val="0"/>
        <charset val="1"/>
      </rPr>
      <t xml:space="preserve">/NNG</t>
    </r>
  </si>
  <si>
    <t xml:space="preserve">elder</t>
  </si>
  <si>
    <t xml:space="preserve">원로</t>
  </si>
  <si>
    <r>
      <rPr>
        <sz val="10"/>
        <rFont val="Noto Sans CJK SC"/>
        <family val="2"/>
      </rPr>
      <t xml:space="preserve">원로</t>
    </r>
    <r>
      <rPr>
        <sz val="10"/>
        <rFont val="Arial"/>
        <family val="0"/>
        <charset val="1"/>
      </rPr>
      <t xml:space="preserve">/NNG</t>
    </r>
  </si>
  <si>
    <t xml:space="preserve">luminary</t>
  </si>
  <si>
    <t xml:space="preserve">intelligence</t>
  </si>
  <si>
    <t xml:space="preserve">지능</t>
  </si>
  <si>
    <r>
      <rPr>
        <sz val="10"/>
        <rFont val="Noto Sans CJK SC"/>
        <family val="2"/>
      </rPr>
      <t xml:space="preserve">지능</t>
    </r>
    <r>
      <rPr>
        <sz val="10"/>
        <rFont val="Arial"/>
        <family val="0"/>
        <charset val="1"/>
      </rPr>
      <t xml:space="preserve">/NNG</t>
    </r>
  </si>
  <si>
    <t xml:space="preserve">지성</t>
  </si>
  <si>
    <r>
      <rPr>
        <sz val="10"/>
        <rFont val="Noto Sans CJK SC"/>
        <family val="2"/>
      </rPr>
      <t xml:space="preserve">지성</t>
    </r>
    <r>
      <rPr>
        <sz val="10"/>
        <rFont val="Arial"/>
        <family val="0"/>
        <charset val="1"/>
      </rPr>
      <t xml:space="preserve">/NNG</t>
    </r>
  </si>
  <si>
    <t xml:space="preserve">cognition</t>
  </si>
  <si>
    <t xml:space="preserve">인지</t>
  </si>
  <si>
    <r>
      <rPr>
        <sz val="10"/>
        <rFont val="Noto Sans CJK SC"/>
        <family val="2"/>
      </rPr>
      <t xml:space="preserve">인지</t>
    </r>
    <r>
      <rPr>
        <sz val="10"/>
        <rFont val="Arial"/>
        <family val="0"/>
        <charset val="1"/>
      </rPr>
      <t xml:space="preserve">/NNG</t>
    </r>
  </si>
  <si>
    <t xml:space="preserve">ingenious</t>
  </si>
  <si>
    <t xml:space="preserve">기발</t>
  </si>
  <si>
    <r>
      <rPr>
        <sz val="10"/>
        <rFont val="Noto Sans CJK SC"/>
        <family val="2"/>
      </rPr>
      <t xml:space="preserve">기발</t>
    </r>
    <r>
      <rPr>
        <sz val="10"/>
        <rFont val="Arial"/>
        <family val="0"/>
        <charset val="1"/>
      </rPr>
      <t xml:space="preserve">/NNG</t>
    </r>
  </si>
  <si>
    <t xml:space="preserve">ingenuity</t>
  </si>
  <si>
    <t xml:space="preserve">독창성</t>
  </si>
  <si>
    <r>
      <rPr>
        <sz val="10"/>
        <rFont val="Noto Sans CJK SC"/>
        <family val="2"/>
      </rPr>
      <t xml:space="preserve">독창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성</t>
    </r>
    <r>
      <rPr>
        <sz val="10"/>
        <rFont val="Arial"/>
        <family val="0"/>
        <charset val="1"/>
      </rPr>
      <t xml:space="preserve">/XSN</t>
    </r>
  </si>
  <si>
    <r>
      <rPr>
        <sz val="10"/>
        <rFont val="Noto Sans CJK SC"/>
        <family val="2"/>
      </rPr>
      <t xml:space="preserve">독창</t>
    </r>
    <r>
      <rPr>
        <sz val="10"/>
        <rFont val="Arial"/>
        <family val="0"/>
        <charset val="1"/>
      </rPr>
      <t xml:space="preserve">/NNG</t>
    </r>
  </si>
  <si>
    <t xml:space="preserve">intellect</t>
  </si>
  <si>
    <t xml:space="preserve">smart</t>
  </si>
  <si>
    <t xml:space="preserve">스마트</t>
  </si>
  <si>
    <r>
      <rPr>
        <sz val="10"/>
        <rFont val="Noto Sans CJK SC"/>
        <family val="2"/>
      </rPr>
      <t xml:space="preserve">스마트</t>
    </r>
    <r>
      <rPr>
        <sz val="10"/>
        <rFont val="Arial"/>
        <family val="0"/>
        <charset val="1"/>
      </rPr>
      <t xml:space="preserve">/NNG</t>
    </r>
  </si>
  <si>
    <r>
      <rPr>
        <sz val="10"/>
        <rFont val="Arial"/>
        <family val="0"/>
        <charset val="1"/>
      </rPr>
      <t xml:space="preserve">smart. '</t>
    </r>
    <r>
      <rPr>
        <sz val="10"/>
        <rFont val="Noto Sans CJK SC"/>
        <family val="2"/>
      </rPr>
      <t xml:space="preserve">스마트팩토리</t>
    </r>
    <r>
      <rPr>
        <sz val="10"/>
        <rFont val="Arial"/>
        <family val="0"/>
        <charset val="1"/>
      </rPr>
      <t xml:space="preserve">','</t>
    </r>
    <r>
      <rPr>
        <sz val="10"/>
        <rFont val="Noto Sans CJK SC"/>
        <family val="2"/>
      </rPr>
      <t xml:space="preserve">스마트 제조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등 기술명사로 대부분 쓰임 → </t>
    </r>
    <r>
      <rPr>
        <sz val="10"/>
        <rFont val="Arial"/>
        <family val="0"/>
        <charset val="1"/>
      </rPr>
      <t xml:space="preserve">ethos </t>
    </r>
    <r>
      <rPr>
        <sz val="10"/>
        <rFont val="Noto Sans CJK SC"/>
        <family val="2"/>
      </rPr>
      <t xml:space="preserve">아님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제외 또는 </t>
    </r>
    <r>
      <rPr>
        <sz val="10"/>
        <rFont val="Arial"/>
        <family val="0"/>
        <charset val="1"/>
      </rPr>
      <t xml:space="preserve">KWIC</t>
    </r>
  </si>
  <si>
    <t xml:space="preserve">aptitude</t>
  </si>
  <si>
    <t xml:space="preserve">적성</t>
  </si>
  <si>
    <r>
      <rPr>
        <sz val="10"/>
        <rFont val="Noto Sans CJK SC"/>
        <family val="2"/>
      </rPr>
      <t xml:space="preserve">적성</t>
    </r>
    <r>
      <rPr>
        <sz val="10"/>
        <rFont val="Arial"/>
        <family val="0"/>
        <charset val="1"/>
      </rPr>
      <t xml:space="preserve">/NNG</t>
    </r>
  </si>
  <si>
    <t xml:space="preserve">wit</t>
  </si>
  <si>
    <t xml:space="preserve">brainpower</t>
  </si>
  <si>
    <t xml:space="preserve">두뇌</t>
  </si>
  <si>
    <r>
      <rPr>
        <sz val="10"/>
        <rFont val="Noto Sans CJK SC"/>
        <family val="2"/>
      </rPr>
      <t xml:space="preserve">두뇌</t>
    </r>
    <r>
      <rPr>
        <sz val="10"/>
        <rFont val="Arial"/>
        <family val="0"/>
        <charset val="1"/>
      </rPr>
      <t xml:space="preserve">/NNG</t>
    </r>
  </si>
  <si>
    <t xml:space="preserve">mastermind</t>
  </si>
  <si>
    <t xml:space="preserve">설계자</t>
  </si>
  <si>
    <r>
      <rPr>
        <sz val="10"/>
        <rFont val="Noto Sans CJK SC"/>
        <family val="2"/>
      </rPr>
      <t xml:space="preserve">설계자</t>
    </r>
    <r>
      <rPr>
        <sz val="10"/>
        <rFont val="Arial"/>
        <family val="0"/>
        <charset val="1"/>
      </rPr>
      <t xml:space="preserve">/NNG</t>
    </r>
  </si>
  <si>
    <t xml:space="preserve">cerebral</t>
  </si>
  <si>
    <t xml:space="preserve">지적</t>
  </si>
  <si>
    <r>
      <rPr>
        <sz val="10"/>
        <rFont val="Noto Sans CJK SC"/>
        <family val="2"/>
      </rPr>
      <t xml:space="preserve">지적</t>
    </r>
    <r>
      <rPr>
        <sz val="10"/>
        <rFont val="Arial"/>
        <family val="0"/>
        <charset val="1"/>
      </rPr>
      <t xml:space="preserve">/NNG</t>
    </r>
  </si>
  <si>
    <t xml:space="preserve">genius</t>
  </si>
  <si>
    <t xml:space="preserve">천재</t>
  </si>
  <si>
    <r>
      <rPr>
        <sz val="10"/>
        <rFont val="Noto Sans CJK SC"/>
        <family val="2"/>
      </rPr>
      <t xml:space="preserve">천재</t>
    </r>
    <r>
      <rPr>
        <sz val="10"/>
        <rFont val="Arial"/>
        <family val="0"/>
        <charset val="1"/>
      </rPr>
      <t xml:space="preserve">/NNG</t>
    </r>
  </si>
  <si>
    <t xml:space="preserve">literate</t>
  </si>
  <si>
    <t xml:space="preserve">문해</t>
  </si>
  <si>
    <r>
      <rPr>
        <sz val="10"/>
        <rFont val="Noto Sans CJK SC"/>
        <family val="2"/>
      </rPr>
      <t xml:space="preserve">문해</t>
    </r>
    <r>
      <rPr>
        <sz val="10"/>
        <rFont val="Arial"/>
        <family val="0"/>
        <charset val="1"/>
      </rPr>
      <t xml:space="preserve">/NNG</t>
    </r>
  </si>
  <si>
    <t xml:space="preserve">well-read</t>
  </si>
  <si>
    <t xml:space="preserve">박식</t>
  </si>
  <si>
    <r>
      <rPr>
        <sz val="10"/>
        <rFont val="Noto Sans CJK SC"/>
        <family val="2"/>
      </rPr>
      <t xml:space="preserve">박식</t>
    </r>
    <r>
      <rPr>
        <sz val="10"/>
        <rFont val="Arial"/>
        <family val="0"/>
        <charset val="1"/>
      </rPr>
      <t xml:space="preserve">/NNG</t>
    </r>
  </si>
  <si>
    <t xml:space="preserve">acumen</t>
  </si>
  <si>
    <t xml:space="preserve">안목</t>
  </si>
  <si>
    <r>
      <rPr>
        <sz val="10"/>
        <rFont val="Noto Sans CJK SC"/>
        <family val="2"/>
      </rPr>
      <t xml:space="preserve">안목</t>
    </r>
    <r>
      <rPr>
        <sz val="10"/>
        <rFont val="Arial"/>
        <family val="0"/>
        <charset val="1"/>
      </rPr>
      <t xml:space="preserve">/NNG</t>
    </r>
  </si>
  <si>
    <t xml:space="preserve">brilliance</t>
  </si>
  <si>
    <t xml:space="preserve">탁월</t>
  </si>
  <si>
    <r>
      <rPr>
        <sz val="10"/>
        <rFont val="Noto Sans CJK SC"/>
        <family val="2"/>
      </rPr>
      <t xml:space="preserve">탁월</t>
    </r>
    <r>
      <rPr>
        <sz val="10"/>
        <rFont val="Arial"/>
        <family val="0"/>
        <charset val="1"/>
      </rPr>
      <t xml:space="preserve">/XR</t>
    </r>
  </si>
  <si>
    <t xml:space="preserve">gifted</t>
  </si>
  <si>
    <t xml:space="preserve">재능</t>
  </si>
  <si>
    <r>
      <rPr>
        <sz val="10"/>
        <rFont val="Noto Sans CJK SC"/>
        <family val="2"/>
      </rPr>
      <t xml:space="preserve">재능</t>
    </r>
    <r>
      <rPr>
        <sz val="10"/>
        <rFont val="Arial"/>
        <family val="0"/>
        <charset val="1"/>
      </rPr>
      <t xml:space="preserve">/NNG</t>
    </r>
  </si>
  <si>
    <t xml:space="preserve">savvy</t>
  </si>
  <si>
    <t xml:space="preserve">노련</t>
  </si>
  <si>
    <r>
      <rPr>
        <sz val="10"/>
        <rFont val="Noto Sans CJK SC"/>
        <family val="2"/>
      </rPr>
      <t xml:space="preserve">노련</t>
    </r>
    <r>
      <rPr>
        <sz val="10"/>
        <rFont val="Arial"/>
        <family val="0"/>
        <charset val="1"/>
      </rPr>
      <t xml:space="preserve">/NNG</t>
    </r>
  </si>
  <si>
    <t xml:space="preserve">discern</t>
  </si>
  <si>
    <t xml:space="preserve">분별</t>
  </si>
  <si>
    <r>
      <rPr>
        <sz val="10"/>
        <rFont val="Noto Sans CJK SC"/>
        <family val="2"/>
      </rPr>
      <t xml:space="preserve">분별</t>
    </r>
    <r>
      <rPr>
        <sz val="10"/>
        <rFont val="Arial"/>
        <family val="0"/>
        <charset val="1"/>
      </rPr>
      <t xml:space="preserve">/NNG</t>
    </r>
  </si>
  <si>
    <t xml:space="preserve">perceive</t>
  </si>
  <si>
    <t xml:space="preserve">인식</t>
  </si>
  <si>
    <r>
      <rPr>
        <sz val="10"/>
        <rFont val="Noto Sans CJK SC"/>
        <family val="2"/>
      </rPr>
      <t xml:space="preserve">인식</t>
    </r>
    <r>
      <rPr>
        <sz val="10"/>
        <rFont val="Arial"/>
        <family val="0"/>
        <charset val="1"/>
      </rPr>
      <t xml:space="preserve">/NNG</t>
    </r>
  </si>
  <si>
    <t xml:space="preserve">clever</t>
  </si>
  <si>
    <t xml:space="preserve">decipher</t>
  </si>
  <si>
    <t xml:space="preserve">해독</t>
  </si>
  <si>
    <r>
      <rPr>
        <sz val="10"/>
        <rFont val="Noto Sans CJK SC"/>
        <family val="2"/>
      </rPr>
      <t xml:space="preserve">해독</t>
    </r>
    <r>
      <rPr>
        <sz val="10"/>
        <rFont val="Arial"/>
        <family val="0"/>
        <charset val="1"/>
      </rPr>
      <t xml:space="preserve">/NNG</t>
    </r>
  </si>
  <si>
    <t xml:space="preserve">figure-out</t>
  </si>
  <si>
    <t xml:space="preserve">파악</t>
  </si>
  <si>
    <r>
      <rPr>
        <sz val="10"/>
        <rFont val="Noto Sans CJK SC"/>
        <family val="2"/>
      </rPr>
      <t xml:space="preserve">파악</t>
    </r>
    <r>
      <rPr>
        <sz val="10"/>
        <rFont val="Arial"/>
        <family val="0"/>
        <charset val="1"/>
      </rPr>
      <t xml:space="preserve">/NNG</t>
    </r>
  </si>
  <si>
    <t xml:space="preserve">good-eye</t>
  </si>
  <si>
    <t xml:space="preserve">ascertain</t>
  </si>
  <si>
    <t xml:space="preserve">확인</t>
  </si>
  <si>
    <r>
      <rPr>
        <sz val="10"/>
        <rFont val="Noto Sans CJK SC"/>
        <family val="2"/>
      </rPr>
      <t xml:space="preserve">확인</t>
    </r>
    <r>
      <rPr>
        <sz val="10"/>
        <rFont val="Arial"/>
        <family val="0"/>
        <charset val="1"/>
      </rPr>
      <t xml:space="preserve">/NNG</t>
    </r>
  </si>
  <si>
    <t xml:space="preserve">distinguish</t>
  </si>
  <si>
    <t xml:space="preserve">구별</t>
  </si>
  <si>
    <r>
      <rPr>
        <sz val="10"/>
        <rFont val="Noto Sans CJK SC"/>
        <family val="2"/>
      </rPr>
      <t xml:space="preserve">구별</t>
    </r>
    <r>
      <rPr>
        <sz val="10"/>
        <rFont val="Arial"/>
        <family val="0"/>
        <charset val="1"/>
      </rPr>
      <t xml:space="preserve">/NNG</t>
    </r>
  </si>
  <si>
    <t xml:space="preserve">차별화</t>
  </si>
  <si>
    <r>
      <rPr>
        <sz val="10"/>
        <rFont val="Noto Sans CJK SC"/>
        <family val="2"/>
      </rPr>
      <t xml:space="preserve">차별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화</t>
    </r>
    <r>
      <rPr>
        <sz val="10"/>
        <rFont val="Arial"/>
        <family val="0"/>
        <charset val="1"/>
      </rPr>
      <t xml:space="preserve">/XSN</t>
    </r>
  </si>
  <si>
    <r>
      <rPr>
        <sz val="10"/>
        <rFont val="Noto Sans CJK SC"/>
        <family val="2"/>
      </rPr>
      <t xml:space="preserve">차별</t>
    </r>
    <r>
      <rPr>
        <sz val="10"/>
        <rFont val="Arial"/>
        <family val="0"/>
        <charset val="1"/>
      </rPr>
      <t xml:space="preserve">/NNG</t>
    </r>
  </si>
  <si>
    <r>
      <rPr>
        <sz val="10"/>
        <rFont val="Arial"/>
        <family val="0"/>
        <charset val="1"/>
      </rPr>
      <t xml:space="preserve">distinguish </t>
    </r>
    <r>
      <rPr>
        <sz val="10"/>
        <rFont val="Noto Sans CJK SC"/>
        <family val="2"/>
      </rPr>
      <t xml:space="preserve">번역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사업계획서에선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경쟁사 대비 차별화</t>
    </r>
    <r>
      <rPr>
        <sz val="10"/>
        <rFont val="Arial"/>
        <family val="0"/>
        <charset val="1"/>
      </rPr>
      <t xml:space="preserve">'(logos</t>
    </r>
    <r>
      <rPr>
        <sz val="10"/>
        <rFont val="Noto Sans CJK SC"/>
        <family val="2"/>
      </rPr>
      <t xml:space="preserve">성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문맥 다수</t>
    </r>
  </si>
  <si>
    <t xml:space="preserve">intuition</t>
  </si>
  <si>
    <t xml:space="preserve">직관</t>
  </si>
  <si>
    <r>
      <rPr>
        <sz val="10"/>
        <rFont val="Noto Sans CJK SC"/>
        <family val="2"/>
      </rPr>
      <t xml:space="preserve">직관</t>
    </r>
    <r>
      <rPr>
        <sz val="10"/>
        <rFont val="Arial"/>
        <family val="0"/>
        <charset val="1"/>
      </rPr>
      <t xml:space="preserve">/NNG</t>
    </r>
  </si>
  <si>
    <t xml:space="preserve">pick-out</t>
  </si>
  <si>
    <t xml:space="preserve">선별</t>
  </si>
  <si>
    <r>
      <rPr>
        <sz val="10"/>
        <rFont val="Noto Sans CJK SC"/>
        <family val="2"/>
      </rPr>
      <t xml:space="preserve">선별</t>
    </r>
    <r>
      <rPr>
        <sz val="10"/>
        <rFont val="Arial"/>
        <family val="0"/>
        <charset val="1"/>
      </rPr>
      <t xml:space="preserve">/NNG</t>
    </r>
  </si>
  <si>
    <t xml:space="preserve">recognize</t>
  </si>
  <si>
    <t xml:space="preserve">인정</t>
  </si>
  <si>
    <r>
      <rPr>
        <sz val="10"/>
        <rFont val="Noto Sans CJK SC"/>
        <family val="2"/>
      </rPr>
      <t xml:space="preserve">인정</t>
    </r>
    <r>
      <rPr>
        <sz val="10"/>
        <rFont val="Arial"/>
        <family val="0"/>
        <charset val="1"/>
      </rPr>
      <t xml:space="preserve">/NNG</t>
    </r>
  </si>
  <si>
    <r>
      <rPr>
        <sz val="10"/>
        <rFont val="Arial"/>
        <family val="0"/>
        <charset val="1"/>
      </rPr>
      <t xml:space="preserve">recognize. '</t>
    </r>
    <r>
      <rPr>
        <sz val="10"/>
        <rFont val="Noto Sans CJK SC"/>
        <family val="2"/>
      </rPr>
      <t xml:space="preserve">인정받은 기술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처럼 </t>
    </r>
    <r>
      <rPr>
        <sz val="10"/>
        <rFont val="Arial"/>
        <family val="0"/>
        <charset val="1"/>
      </rPr>
      <t xml:space="preserve">ethos</t>
    </r>
    <r>
      <rPr>
        <sz val="10"/>
        <rFont val="Noto Sans CJK SC"/>
        <family val="2"/>
      </rPr>
      <t xml:space="preserve">로 무난</t>
    </r>
  </si>
  <si>
    <t xml:space="preserve">clairvoyance</t>
  </si>
  <si>
    <t xml:space="preserve">혜안</t>
  </si>
  <si>
    <r>
      <rPr>
        <sz val="10"/>
        <rFont val="Noto Sans CJK SC"/>
        <family val="2"/>
      </rPr>
      <t xml:space="preserve">혜안</t>
    </r>
    <r>
      <rPr>
        <sz val="10"/>
        <rFont val="Arial"/>
        <family val="0"/>
        <charset val="1"/>
      </rPr>
      <t xml:space="preserve">/NNG</t>
    </r>
  </si>
  <si>
    <t xml:space="preserve">differ</t>
  </si>
  <si>
    <t xml:space="preserve">다르다</t>
  </si>
  <si>
    <r>
      <rPr>
        <sz val="10"/>
        <rFont val="Noto Sans CJK SC"/>
        <family val="2"/>
      </rPr>
      <t xml:space="preserve">다르</t>
    </r>
    <r>
      <rPr>
        <sz val="10"/>
        <rFont val="Arial"/>
        <family val="0"/>
        <charset val="1"/>
      </rPr>
      <t xml:space="preserve">/VA + 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/EF</t>
    </r>
  </si>
  <si>
    <r>
      <rPr>
        <sz val="10"/>
        <rFont val="Noto Sans CJK SC"/>
        <family val="2"/>
      </rPr>
      <t xml:space="preserve">다르</t>
    </r>
    <r>
      <rPr>
        <sz val="10"/>
        <rFont val="Arial"/>
        <family val="0"/>
        <charset val="1"/>
      </rPr>
      <t xml:space="preserve">/VA</t>
    </r>
  </si>
  <si>
    <t xml:space="preserve">farsighted</t>
  </si>
  <si>
    <t xml:space="preserve">선견</t>
  </si>
  <si>
    <r>
      <rPr>
        <sz val="10"/>
        <rFont val="Noto Sans CJK SC"/>
        <family val="2"/>
      </rPr>
      <t xml:space="preserve">선견</t>
    </r>
    <r>
      <rPr>
        <sz val="10"/>
        <rFont val="Arial"/>
        <family val="0"/>
        <charset val="1"/>
      </rPr>
      <t xml:space="preserve">/NNG</t>
    </r>
  </si>
  <si>
    <t xml:space="preserve">discriminate</t>
  </si>
  <si>
    <t xml:space="preserve">판별</t>
  </si>
  <si>
    <r>
      <rPr>
        <sz val="10"/>
        <rFont val="Noto Sans CJK SC"/>
        <family val="2"/>
      </rPr>
      <t xml:space="preserve">판별</t>
    </r>
    <r>
      <rPr>
        <sz val="10"/>
        <rFont val="Arial"/>
        <family val="0"/>
        <charset val="1"/>
      </rPr>
      <t xml:space="preserve">/NNG</t>
    </r>
  </si>
  <si>
    <t xml:space="preserve">judge</t>
  </si>
  <si>
    <t xml:space="preserve">판단</t>
  </si>
  <si>
    <r>
      <rPr>
        <sz val="10"/>
        <rFont val="Noto Sans CJK SC"/>
        <family val="2"/>
      </rPr>
      <t xml:space="preserve">판단</t>
    </r>
    <r>
      <rPr>
        <sz val="10"/>
        <rFont val="Arial"/>
        <family val="0"/>
        <charset val="1"/>
      </rPr>
      <t xml:space="preserve">/NNG</t>
    </r>
  </si>
  <si>
    <t xml:space="preserve">scrutinize</t>
  </si>
  <si>
    <t xml:space="preserve">면밀</t>
  </si>
  <si>
    <r>
      <rPr>
        <sz val="10"/>
        <rFont val="Noto Sans CJK SC"/>
        <family val="2"/>
      </rPr>
      <t xml:space="preserve">면밀</t>
    </r>
    <r>
      <rPr>
        <sz val="10"/>
        <rFont val="Arial"/>
        <family val="0"/>
        <charset val="1"/>
      </rPr>
      <t xml:space="preserve">/XR</t>
    </r>
  </si>
  <si>
    <t xml:space="preserve">delineate</t>
  </si>
  <si>
    <t xml:space="preserve">규정</t>
  </si>
  <si>
    <r>
      <rPr>
        <sz val="10"/>
        <rFont val="Noto Sans CJK SC"/>
        <family val="2"/>
      </rPr>
      <t xml:space="preserve">규정</t>
    </r>
    <r>
      <rPr>
        <sz val="10"/>
        <rFont val="Arial"/>
        <family val="0"/>
        <charset val="1"/>
      </rPr>
      <t xml:space="preserve">/NNG</t>
    </r>
  </si>
  <si>
    <t xml:space="preserve">detection</t>
  </si>
  <si>
    <t xml:space="preserve">탐지</t>
  </si>
  <si>
    <r>
      <rPr>
        <sz val="10"/>
        <rFont val="Noto Sans CJK SC"/>
        <family val="2"/>
      </rPr>
      <t xml:space="preserve">탐지</t>
    </r>
    <r>
      <rPr>
        <sz val="10"/>
        <rFont val="Arial"/>
        <family val="0"/>
        <charset val="1"/>
      </rPr>
      <t xml:space="preserve">/NNG</t>
    </r>
  </si>
  <si>
    <r>
      <rPr>
        <sz val="10"/>
        <rFont val="Arial"/>
        <family val="0"/>
        <charset val="1"/>
      </rPr>
      <t xml:space="preserve">detection(ethos/discern)</t>
    </r>
    <r>
      <rPr>
        <sz val="10"/>
        <rFont val="Noto Sans CJK SC"/>
        <family val="2"/>
      </rPr>
      <t xml:space="preserve">이나 로봇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센서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탐지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감지 기술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문맥이 대부분 → </t>
    </r>
    <r>
      <rPr>
        <sz val="10"/>
        <rFont val="Arial"/>
        <family val="0"/>
        <charset val="1"/>
      </rPr>
      <t xml:space="preserve">logos</t>
    </r>
    <r>
      <rPr>
        <sz val="10"/>
        <rFont val="Noto Sans CJK SC"/>
        <family val="2"/>
      </rPr>
      <t xml:space="preserve">성</t>
    </r>
  </si>
  <si>
    <t xml:space="preserve">감지</t>
  </si>
  <si>
    <r>
      <rPr>
        <sz val="10"/>
        <rFont val="Noto Sans CJK SC"/>
        <family val="2"/>
      </rPr>
      <t xml:space="preserve">감지</t>
    </r>
    <r>
      <rPr>
        <sz val="10"/>
        <rFont val="Arial"/>
        <family val="0"/>
        <charset val="1"/>
      </rPr>
      <t xml:space="preserve">/NNG</t>
    </r>
  </si>
  <si>
    <r>
      <rPr>
        <sz val="10"/>
        <rFont val="Arial"/>
        <family val="0"/>
        <charset val="1"/>
      </rPr>
      <t xml:space="preserve">detection. </t>
    </r>
    <r>
      <rPr>
        <sz val="10"/>
        <rFont val="Noto Sans CJK SC"/>
        <family val="2"/>
      </rPr>
      <t xml:space="preserve">센서 감지 기술 문맥 → </t>
    </r>
    <r>
      <rPr>
        <sz val="10"/>
        <rFont val="Arial"/>
        <family val="0"/>
        <charset val="1"/>
      </rPr>
      <t xml:space="preserve">ethos</t>
    </r>
    <r>
      <rPr>
        <sz val="10"/>
        <rFont val="Noto Sans CJK SC"/>
        <family val="2"/>
      </rPr>
      <t xml:space="preserve">로 보기 어려움</t>
    </r>
  </si>
  <si>
    <t xml:space="preserve">keen</t>
  </si>
  <si>
    <t xml:space="preserve">comprehension</t>
  </si>
  <si>
    <t xml:space="preserve">이해</t>
  </si>
  <si>
    <r>
      <rPr>
        <sz val="10"/>
        <rFont val="Noto Sans CJK SC"/>
        <family val="2"/>
      </rPr>
      <t xml:space="preserve">이해</t>
    </r>
    <r>
      <rPr>
        <sz val="10"/>
        <rFont val="Arial"/>
        <family val="0"/>
        <charset val="1"/>
      </rPr>
      <t xml:space="preserve">/NNG</t>
    </r>
  </si>
  <si>
    <t xml:space="preserve">aware</t>
  </si>
  <si>
    <t xml:space="preserve">discreet</t>
  </si>
  <si>
    <t xml:space="preserve">watch</t>
  </si>
  <si>
    <t xml:space="preserve">주시</t>
  </si>
  <si>
    <r>
      <rPr>
        <sz val="10"/>
        <rFont val="Noto Sans CJK SC"/>
        <family val="2"/>
      </rPr>
      <t xml:space="preserve">주시</t>
    </r>
    <r>
      <rPr>
        <sz val="10"/>
        <rFont val="Arial"/>
        <family val="0"/>
        <charset val="1"/>
      </rPr>
      <t xml:space="preserve">/NNG</t>
    </r>
  </si>
  <si>
    <t xml:space="preserve">mindful</t>
  </si>
  <si>
    <t xml:space="preserve">유념</t>
  </si>
  <si>
    <r>
      <rPr>
        <sz val="10"/>
        <rFont val="Noto Sans CJK SC"/>
        <family val="2"/>
      </rPr>
      <t xml:space="preserve">유념</t>
    </r>
    <r>
      <rPr>
        <sz val="10"/>
        <rFont val="Arial"/>
        <family val="0"/>
        <charset val="1"/>
      </rPr>
      <t xml:space="preserve">/NNG</t>
    </r>
  </si>
  <si>
    <t xml:space="preserve">alert</t>
  </si>
  <si>
    <t xml:space="preserve">경계</t>
  </si>
  <si>
    <r>
      <rPr>
        <sz val="10"/>
        <rFont val="Noto Sans CJK SC"/>
        <family val="2"/>
      </rPr>
      <t xml:space="preserve">경계</t>
    </r>
    <r>
      <rPr>
        <sz val="10"/>
        <rFont val="Arial"/>
        <family val="0"/>
        <charset val="1"/>
      </rPr>
      <t xml:space="preserve">/NNG</t>
    </r>
  </si>
  <si>
    <t xml:space="preserve">tell</t>
  </si>
  <si>
    <t xml:space="preserve">구분</t>
  </si>
  <si>
    <r>
      <rPr>
        <sz val="10"/>
        <rFont val="Noto Sans CJK SC"/>
        <family val="2"/>
      </rPr>
      <t xml:space="preserve">구분</t>
    </r>
    <r>
      <rPr>
        <sz val="10"/>
        <rFont val="Arial"/>
        <family val="0"/>
        <charset val="1"/>
      </rPr>
      <t xml:space="preserve">/NNG</t>
    </r>
  </si>
  <si>
    <t xml:space="preserve">apart</t>
  </si>
  <si>
    <t xml:space="preserve">understand</t>
  </si>
  <si>
    <t xml:space="preserve">virtue</t>
  </si>
  <si>
    <t xml:space="preserve">덕</t>
  </si>
  <si>
    <r>
      <rPr>
        <sz val="10"/>
        <rFont val="Noto Sans CJK SC"/>
        <family val="2"/>
      </rPr>
      <t xml:space="preserve">덕</t>
    </r>
    <r>
      <rPr>
        <sz val="10"/>
        <rFont val="Arial"/>
        <family val="0"/>
        <charset val="1"/>
      </rPr>
      <t xml:space="preserve">/NNG</t>
    </r>
  </si>
  <si>
    <r>
      <rPr>
        <sz val="10"/>
        <rFont val="Arial"/>
        <family val="0"/>
        <charset val="1"/>
      </rPr>
      <t xml:space="preserve">virtue. 1</t>
    </r>
    <r>
      <rPr>
        <sz val="10"/>
        <rFont val="Noto Sans CJK SC"/>
        <family val="2"/>
      </rPr>
      <t xml:space="preserve">음절 →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덕분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등 과잉매칭 위험</t>
    </r>
  </si>
  <si>
    <t xml:space="preserve">care</t>
  </si>
  <si>
    <t xml:space="preserve">배려</t>
  </si>
  <si>
    <r>
      <rPr>
        <sz val="10"/>
        <rFont val="Noto Sans CJK SC"/>
        <family val="2"/>
      </rPr>
      <t xml:space="preserve">배려</t>
    </r>
    <r>
      <rPr>
        <sz val="10"/>
        <rFont val="Arial"/>
        <family val="0"/>
        <charset val="1"/>
      </rPr>
      <t xml:space="preserve">/NNG</t>
    </r>
  </si>
  <si>
    <t xml:space="preserve">돌봄</t>
  </si>
  <si>
    <r>
      <rPr>
        <sz val="10"/>
        <rFont val="Noto Sans CJK SC"/>
        <family val="2"/>
      </rPr>
      <t xml:space="preserve">돌봄</t>
    </r>
    <r>
      <rPr>
        <sz val="10"/>
        <rFont val="Arial"/>
        <family val="0"/>
        <charset val="1"/>
      </rPr>
      <t xml:space="preserve">/NNG</t>
    </r>
  </si>
  <si>
    <t xml:space="preserve">forgive</t>
  </si>
  <si>
    <t xml:space="preserve">용서</t>
  </si>
  <si>
    <r>
      <rPr>
        <sz val="10"/>
        <rFont val="Noto Sans CJK SC"/>
        <family val="2"/>
      </rPr>
      <t xml:space="preserve">용서</t>
    </r>
    <r>
      <rPr>
        <sz val="10"/>
        <rFont val="Arial"/>
        <family val="0"/>
        <charset val="1"/>
      </rPr>
      <t xml:space="preserve">/NNG</t>
    </r>
  </si>
  <si>
    <t xml:space="preserve">un-corrupt</t>
  </si>
  <si>
    <t xml:space="preserve">청렴</t>
  </si>
  <si>
    <r>
      <rPr>
        <sz val="10"/>
        <rFont val="Noto Sans CJK SC"/>
        <family val="2"/>
      </rPr>
      <t xml:space="preserve">청렴</t>
    </r>
    <r>
      <rPr>
        <sz val="10"/>
        <rFont val="Arial"/>
        <family val="0"/>
        <charset val="1"/>
      </rPr>
      <t xml:space="preserve">/NNG</t>
    </r>
  </si>
  <si>
    <t xml:space="preserve">incorrupt</t>
  </si>
  <si>
    <t xml:space="preserve">honour</t>
  </si>
  <si>
    <t xml:space="preserve">명예</t>
  </si>
  <si>
    <r>
      <rPr>
        <sz val="10"/>
        <rFont val="Noto Sans CJK SC"/>
        <family val="2"/>
      </rPr>
      <t xml:space="preserve">명예</t>
    </r>
    <r>
      <rPr>
        <sz val="10"/>
        <rFont val="Arial"/>
        <family val="0"/>
        <charset val="1"/>
      </rPr>
      <t xml:space="preserve">/NNG</t>
    </r>
  </si>
  <si>
    <t xml:space="preserve">decency</t>
  </si>
  <si>
    <t xml:space="preserve">upstanding</t>
  </si>
  <si>
    <t xml:space="preserve">올곧다</t>
  </si>
  <si>
    <r>
      <rPr>
        <sz val="10"/>
        <rFont val="Noto Sans CJK SC"/>
        <family val="2"/>
      </rPr>
      <t xml:space="preserve">올곧</t>
    </r>
    <r>
      <rPr>
        <sz val="10"/>
        <rFont val="Arial"/>
        <family val="0"/>
        <charset val="1"/>
      </rPr>
      <t xml:space="preserve">/VA + 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/EF</t>
    </r>
  </si>
  <si>
    <r>
      <rPr>
        <sz val="10"/>
        <rFont val="Noto Sans CJK SC"/>
        <family val="2"/>
      </rPr>
      <t xml:space="preserve">올곧</t>
    </r>
    <r>
      <rPr>
        <sz val="10"/>
        <rFont val="Arial"/>
        <family val="0"/>
        <charset val="1"/>
      </rPr>
      <t xml:space="preserve">/VA</t>
    </r>
  </si>
  <si>
    <t xml:space="preserve">justice</t>
  </si>
  <si>
    <t xml:space="preserve">정의</t>
  </si>
  <si>
    <t xml:space="preserve">modest</t>
  </si>
  <si>
    <t xml:space="preserve">겸손</t>
  </si>
  <si>
    <r>
      <rPr>
        <sz val="10"/>
        <rFont val="Noto Sans CJK SC"/>
        <family val="2"/>
      </rPr>
      <t xml:space="preserve">겸손</t>
    </r>
    <r>
      <rPr>
        <sz val="10"/>
        <rFont val="Arial"/>
        <family val="0"/>
        <charset val="1"/>
      </rPr>
      <t xml:space="preserve">/NNG</t>
    </r>
  </si>
  <si>
    <t xml:space="preserve">grace</t>
  </si>
  <si>
    <t xml:space="preserve">품격</t>
  </si>
  <si>
    <r>
      <rPr>
        <sz val="10"/>
        <rFont val="Noto Sans CJK SC"/>
        <family val="2"/>
      </rPr>
      <t xml:space="preserve">품격</t>
    </r>
    <r>
      <rPr>
        <sz val="10"/>
        <rFont val="Arial"/>
        <family val="0"/>
        <charset val="1"/>
      </rPr>
      <t xml:space="preserve">/NNG</t>
    </r>
  </si>
  <si>
    <t xml:space="preserve">worthy</t>
  </si>
  <si>
    <t xml:space="preserve">rely</t>
  </si>
  <si>
    <t xml:space="preserve">신뢰</t>
  </si>
  <si>
    <r>
      <rPr>
        <sz val="10"/>
        <rFont val="Arial"/>
        <family val="0"/>
        <charset val="1"/>
      </rPr>
      <t xml:space="preserve">ethos. </t>
    </r>
    <r>
      <rPr>
        <sz val="10"/>
        <rFont val="Noto Sans CJK SC"/>
        <family val="2"/>
      </rPr>
      <t xml:space="preserve">접두 매칭 시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신뢰성</t>
    </r>
    <r>
      <rPr>
        <sz val="10"/>
        <rFont val="Arial"/>
        <family val="0"/>
        <charset val="1"/>
      </rPr>
      <t xml:space="preserve">'(logos)</t>
    </r>
    <r>
      <rPr>
        <sz val="10"/>
        <rFont val="Noto Sans CJK SC"/>
        <family val="2"/>
      </rPr>
      <t xml:space="preserve">까지 잡힘 → 형태소 단위 완전일치 권장</t>
    </r>
  </si>
  <si>
    <t xml:space="preserve">의존</t>
  </si>
  <si>
    <r>
      <rPr>
        <sz val="10"/>
        <rFont val="Noto Sans CJK SC"/>
        <family val="2"/>
      </rPr>
      <t xml:space="preserve">의존</t>
    </r>
    <r>
      <rPr>
        <sz val="10"/>
        <rFont val="Arial"/>
        <family val="0"/>
        <charset val="1"/>
      </rPr>
      <t xml:space="preserve">/NNG</t>
    </r>
  </si>
  <si>
    <t xml:space="preserve">charity</t>
  </si>
  <si>
    <t xml:space="preserve">자선</t>
  </si>
  <si>
    <r>
      <rPr>
        <sz val="10"/>
        <rFont val="Noto Sans CJK SC"/>
        <family val="2"/>
      </rPr>
      <t xml:space="preserve">자선</t>
    </r>
    <r>
      <rPr>
        <sz val="10"/>
        <rFont val="Arial"/>
        <family val="0"/>
        <charset val="1"/>
      </rPr>
      <t xml:space="preserve">/NNG</t>
    </r>
  </si>
  <si>
    <t xml:space="preserve">impeccable</t>
  </si>
  <si>
    <t xml:space="preserve">흠잡을 데 없는</t>
  </si>
  <si>
    <r>
      <rPr>
        <sz val="10"/>
        <rFont val="Noto Sans CJK SC"/>
        <family val="2"/>
      </rPr>
      <t xml:space="preserve">흠잡</t>
    </r>
    <r>
      <rPr>
        <sz val="10"/>
        <rFont val="Arial"/>
        <family val="0"/>
        <charset val="1"/>
      </rPr>
      <t xml:space="preserve">/VV + </t>
    </r>
    <r>
      <rPr>
        <sz val="10"/>
        <rFont val="Noto Sans CJK SC"/>
        <family val="2"/>
      </rPr>
      <t xml:space="preserve">을</t>
    </r>
    <r>
      <rPr>
        <sz val="10"/>
        <rFont val="Arial"/>
        <family val="0"/>
        <charset val="1"/>
      </rPr>
      <t xml:space="preserve">/ETM + </t>
    </r>
    <r>
      <rPr>
        <sz val="10"/>
        <rFont val="Noto Sans CJK SC"/>
        <family val="2"/>
      </rPr>
      <t xml:space="preserve">데</t>
    </r>
    <r>
      <rPr>
        <sz val="10"/>
        <rFont val="Arial"/>
        <family val="0"/>
        <charset val="1"/>
      </rPr>
      <t xml:space="preserve">/NNB + </t>
    </r>
    <r>
      <rPr>
        <sz val="10"/>
        <rFont val="Noto Sans CJK SC"/>
        <family val="2"/>
      </rPr>
      <t xml:space="preserve">없</t>
    </r>
    <r>
      <rPr>
        <sz val="10"/>
        <rFont val="Arial"/>
        <family val="0"/>
        <charset val="1"/>
      </rPr>
      <t xml:space="preserve">/VA + </t>
    </r>
    <r>
      <rPr>
        <sz val="10"/>
        <rFont val="Noto Sans CJK SC"/>
        <family val="2"/>
      </rPr>
      <t xml:space="preserve">는</t>
    </r>
    <r>
      <rPr>
        <sz val="10"/>
        <rFont val="Arial"/>
        <family val="0"/>
        <charset val="1"/>
      </rPr>
      <t xml:space="preserve">/ETM</t>
    </r>
  </si>
  <si>
    <r>
      <rPr>
        <sz val="10"/>
        <rFont val="Noto Sans CJK SC"/>
        <family val="2"/>
      </rPr>
      <t xml:space="preserve">흠잡</t>
    </r>
    <r>
      <rPr>
        <sz val="10"/>
        <rFont val="Arial"/>
        <family val="0"/>
        <charset val="1"/>
      </rPr>
      <t xml:space="preserve">/VV + </t>
    </r>
    <r>
      <rPr>
        <sz val="10"/>
        <rFont val="Noto Sans CJK SC"/>
        <family val="2"/>
      </rPr>
      <t xml:space="preserve">없</t>
    </r>
    <r>
      <rPr>
        <sz val="10"/>
        <rFont val="Arial"/>
        <family val="0"/>
        <charset val="1"/>
      </rPr>
      <t xml:space="preserve">/VA</t>
    </r>
  </si>
  <si>
    <t xml:space="preserve">scrupulous</t>
  </si>
  <si>
    <t xml:space="preserve">양심적</t>
  </si>
  <si>
    <r>
      <rPr>
        <sz val="10"/>
        <rFont val="Noto Sans CJK SC"/>
        <family val="2"/>
      </rPr>
      <t xml:space="preserve">양심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적</t>
    </r>
    <r>
      <rPr>
        <sz val="10"/>
        <rFont val="Arial"/>
        <family val="0"/>
        <charset val="1"/>
      </rPr>
      <t xml:space="preserve">/XSN</t>
    </r>
  </si>
  <si>
    <t xml:space="preserve">loyal</t>
  </si>
  <si>
    <t xml:space="preserve">충성</t>
  </si>
  <si>
    <r>
      <rPr>
        <sz val="10"/>
        <rFont val="Noto Sans CJK SC"/>
        <family val="2"/>
      </rPr>
      <t xml:space="preserve">충성</t>
    </r>
    <r>
      <rPr>
        <sz val="10"/>
        <rFont val="Arial"/>
        <family val="0"/>
        <charset val="1"/>
      </rPr>
      <t xml:space="preserve">/NNG</t>
    </r>
  </si>
  <si>
    <t xml:space="preserve">truth</t>
  </si>
  <si>
    <t xml:space="preserve">진실</t>
  </si>
  <si>
    <r>
      <rPr>
        <sz val="10"/>
        <rFont val="Noto Sans CJK SC"/>
        <family val="2"/>
      </rPr>
      <t xml:space="preserve">진실</t>
    </r>
    <r>
      <rPr>
        <sz val="10"/>
        <rFont val="Arial"/>
        <family val="0"/>
        <charset val="1"/>
      </rPr>
      <t xml:space="preserve">/NNG</t>
    </r>
  </si>
  <si>
    <t xml:space="preserve">creditable</t>
  </si>
  <si>
    <t xml:space="preserve">훌륭</t>
  </si>
  <si>
    <r>
      <rPr>
        <sz val="10"/>
        <rFont val="Noto Sans CJK SC"/>
        <family val="2"/>
      </rPr>
      <t xml:space="preserve">훌륭</t>
    </r>
    <r>
      <rPr>
        <sz val="10"/>
        <rFont val="Arial"/>
        <family val="0"/>
        <charset val="1"/>
      </rPr>
      <t xml:space="preserve">/XR</t>
    </r>
  </si>
  <si>
    <t xml:space="preserve">commendable</t>
  </si>
  <si>
    <t xml:space="preserve">칭찬</t>
  </si>
  <si>
    <r>
      <rPr>
        <sz val="10"/>
        <rFont val="Noto Sans CJK SC"/>
        <family val="2"/>
      </rPr>
      <t xml:space="preserve">칭찬</t>
    </r>
    <r>
      <rPr>
        <sz val="10"/>
        <rFont val="Arial"/>
        <family val="0"/>
        <charset val="1"/>
      </rPr>
      <t xml:space="preserve">/NNG</t>
    </r>
  </si>
  <si>
    <t xml:space="preserve">praiseworthy</t>
  </si>
  <si>
    <t xml:space="preserve">right-minded</t>
  </si>
  <si>
    <t xml:space="preserve">올바르다</t>
  </si>
  <si>
    <r>
      <rPr>
        <sz val="10"/>
        <rFont val="Noto Sans CJK SC"/>
        <family val="2"/>
      </rPr>
      <t xml:space="preserve">올바르</t>
    </r>
    <r>
      <rPr>
        <sz val="10"/>
        <rFont val="Arial"/>
        <family val="0"/>
        <charset val="1"/>
      </rPr>
      <t xml:space="preserve">/VA + 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/EF</t>
    </r>
  </si>
  <si>
    <r>
      <rPr>
        <sz val="10"/>
        <rFont val="Noto Sans CJK SC"/>
        <family val="2"/>
      </rPr>
      <t xml:space="preserve">올바르</t>
    </r>
    <r>
      <rPr>
        <sz val="10"/>
        <rFont val="Arial"/>
        <family val="0"/>
        <charset val="1"/>
      </rPr>
      <t xml:space="preserve">/VA</t>
    </r>
  </si>
  <si>
    <t xml:space="preserve">excellence</t>
  </si>
  <si>
    <t xml:space="preserve">우수</t>
  </si>
  <si>
    <r>
      <rPr>
        <sz val="10"/>
        <rFont val="Noto Sans CJK SC"/>
        <family val="2"/>
      </rPr>
      <t xml:space="preserve">우수</t>
    </r>
    <r>
      <rPr>
        <sz val="10"/>
        <rFont val="Arial"/>
        <family val="0"/>
        <charset val="1"/>
      </rPr>
      <t xml:space="preserve">/NNG</t>
    </r>
  </si>
  <si>
    <t xml:space="preserve">the-best</t>
  </si>
  <si>
    <t xml:space="preserve">최고</t>
  </si>
  <si>
    <r>
      <rPr>
        <sz val="10"/>
        <rFont val="Noto Sans CJK SC"/>
        <family val="2"/>
      </rPr>
      <t xml:space="preserve">최고</t>
    </r>
    <r>
      <rPr>
        <sz val="10"/>
        <rFont val="Arial"/>
        <family val="0"/>
        <charset val="1"/>
      </rPr>
      <t xml:space="preserve">/NNG</t>
    </r>
  </si>
  <si>
    <t xml:space="preserve">matchless</t>
  </si>
  <si>
    <t xml:space="preserve">독보적</t>
  </si>
  <si>
    <r>
      <rPr>
        <sz val="10"/>
        <rFont val="Noto Sans CJK SC"/>
        <family val="2"/>
      </rPr>
      <t xml:space="preserve">독보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적</t>
    </r>
    <r>
      <rPr>
        <sz val="10"/>
        <rFont val="Arial"/>
        <family val="0"/>
        <charset val="1"/>
      </rPr>
      <t xml:space="preserve">/XSN</t>
    </r>
  </si>
  <si>
    <r>
      <rPr>
        <sz val="10"/>
        <rFont val="Noto Sans CJK SC"/>
        <family val="2"/>
      </rPr>
      <t xml:space="preserve">독보</t>
    </r>
    <r>
      <rPr>
        <sz val="10"/>
        <rFont val="Arial"/>
        <family val="0"/>
        <charset val="1"/>
      </rPr>
      <t xml:space="preserve">/NNG</t>
    </r>
  </si>
  <si>
    <t xml:space="preserve">pre-eminence</t>
  </si>
  <si>
    <t xml:space="preserve">peerless</t>
  </si>
  <si>
    <t xml:space="preserve">비할 데 없는</t>
  </si>
  <si>
    <r>
      <rPr>
        <sz val="10"/>
        <rFont val="Noto Sans CJK SC"/>
        <family val="2"/>
      </rPr>
      <t xml:space="preserve">비하</t>
    </r>
    <r>
      <rPr>
        <sz val="10"/>
        <rFont val="Arial"/>
        <family val="0"/>
        <charset val="1"/>
      </rPr>
      <t xml:space="preserve">/VV + </t>
    </r>
    <r>
      <rPr>
        <sz val="10"/>
        <rFont val="Noto Sans CJK SC"/>
        <family val="2"/>
      </rPr>
      <t xml:space="preserve">ᆯ</t>
    </r>
    <r>
      <rPr>
        <sz val="10"/>
        <rFont val="Arial"/>
        <family val="0"/>
        <charset val="1"/>
      </rPr>
      <t xml:space="preserve">/ETM + </t>
    </r>
    <r>
      <rPr>
        <sz val="10"/>
        <rFont val="Noto Sans CJK SC"/>
        <family val="2"/>
      </rPr>
      <t xml:space="preserve">데</t>
    </r>
    <r>
      <rPr>
        <sz val="10"/>
        <rFont val="Arial"/>
        <family val="0"/>
        <charset val="1"/>
      </rPr>
      <t xml:space="preserve">/NNB + </t>
    </r>
    <r>
      <rPr>
        <sz val="10"/>
        <rFont val="Noto Sans CJK SC"/>
        <family val="2"/>
      </rPr>
      <t xml:space="preserve">없</t>
    </r>
    <r>
      <rPr>
        <sz val="10"/>
        <rFont val="Arial"/>
        <family val="0"/>
        <charset val="1"/>
      </rPr>
      <t xml:space="preserve">/VA + </t>
    </r>
    <r>
      <rPr>
        <sz val="10"/>
        <rFont val="Noto Sans CJK SC"/>
        <family val="2"/>
      </rPr>
      <t xml:space="preserve">는</t>
    </r>
    <r>
      <rPr>
        <sz val="10"/>
        <rFont val="Arial"/>
        <family val="0"/>
        <charset val="1"/>
      </rPr>
      <t xml:space="preserve">/ETM</t>
    </r>
  </si>
  <si>
    <r>
      <rPr>
        <sz val="10"/>
        <rFont val="Noto Sans CJK SC"/>
        <family val="2"/>
      </rPr>
      <t xml:space="preserve">비하</t>
    </r>
    <r>
      <rPr>
        <sz val="10"/>
        <rFont val="Arial"/>
        <family val="0"/>
        <charset val="1"/>
      </rPr>
      <t xml:space="preserve">/VV + </t>
    </r>
    <r>
      <rPr>
        <sz val="10"/>
        <rFont val="Noto Sans CJK SC"/>
        <family val="2"/>
      </rPr>
      <t xml:space="preserve">없</t>
    </r>
    <r>
      <rPr>
        <sz val="10"/>
        <rFont val="Arial"/>
        <family val="0"/>
        <charset val="1"/>
      </rPr>
      <t xml:space="preserve">/VA</t>
    </r>
  </si>
  <si>
    <t xml:space="preserve">mastery</t>
  </si>
  <si>
    <t xml:space="preserve">숙달</t>
  </si>
  <si>
    <r>
      <rPr>
        <sz val="10"/>
        <rFont val="Noto Sans CJK SC"/>
        <family val="2"/>
      </rPr>
      <t xml:space="preserve">숙달</t>
    </r>
    <r>
      <rPr>
        <sz val="10"/>
        <rFont val="Arial"/>
        <family val="0"/>
        <charset val="1"/>
      </rPr>
      <t xml:space="preserve">/NNG</t>
    </r>
  </si>
  <si>
    <t xml:space="preserve">unparalleled</t>
  </si>
  <si>
    <t xml:space="preserve">전례 없는</t>
  </si>
  <si>
    <r>
      <rPr>
        <sz val="10"/>
        <rFont val="Noto Sans CJK SC"/>
        <family val="2"/>
      </rPr>
      <t xml:space="preserve">전례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없</t>
    </r>
    <r>
      <rPr>
        <sz val="10"/>
        <rFont val="Arial"/>
        <family val="0"/>
        <charset val="1"/>
      </rPr>
      <t xml:space="preserve">/VA + </t>
    </r>
    <r>
      <rPr>
        <sz val="10"/>
        <rFont val="Noto Sans CJK SC"/>
        <family val="2"/>
      </rPr>
      <t xml:space="preserve">는</t>
    </r>
    <r>
      <rPr>
        <sz val="10"/>
        <rFont val="Arial"/>
        <family val="0"/>
        <charset val="1"/>
      </rPr>
      <t xml:space="preserve">/ETM</t>
    </r>
  </si>
  <si>
    <r>
      <rPr>
        <sz val="10"/>
        <rFont val="Noto Sans CJK SC"/>
        <family val="2"/>
      </rPr>
      <t xml:space="preserve">전례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없</t>
    </r>
    <r>
      <rPr>
        <sz val="10"/>
        <rFont val="Arial"/>
        <family val="0"/>
        <charset val="1"/>
      </rPr>
      <t xml:space="preserve">/VA</t>
    </r>
  </si>
  <si>
    <t xml:space="preserve">perfect</t>
  </si>
  <si>
    <t xml:space="preserve">완벽</t>
  </si>
  <si>
    <r>
      <rPr>
        <sz val="10"/>
        <rFont val="Noto Sans CJK SC"/>
        <family val="2"/>
      </rPr>
      <t xml:space="preserve">완벽</t>
    </r>
    <r>
      <rPr>
        <sz val="10"/>
        <rFont val="Arial"/>
        <family val="0"/>
        <charset val="1"/>
      </rPr>
      <t xml:space="preserve">/NNG</t>
    </r>
  </si>
  <si>
    <t xml:space="preserve">quality</t>
  </si>
  <si>
    <t xml:space="preserve">품질</t>
  </si>
  <si>
    <r>
      <rPr>
        <sz val="10"/>
        <rFont val="Noto Sans CJK SC"/>
        <family val="2"/>
      </rPr>
      <t xml:space="preserve">품질</t>
    </r>
    <r>
      <rPr>
        <sz val="10"/>
        <rFont val="Arial"/>
        <family val="0"/>
        <charset val="1"/>
      </rPr>
      <t xml:space="preserve">/NNG</t>
    </r>
  </si>
  <si>
    <r>
      <rPr>
        <sz val="10"/>
        <rFont val="Arial"/>
        <family val="0"/>
        <charset val="1"/>
      </rPr>
      <t xml:space="preserve">quality(ethos)</t>
    </r>
    <r>
      <rPr>
        <sz val="10"/>
        <rFont val="Noto Sans CJK SC"/>
        <family val="2"/>
      </rPr>
      <t xml:space="preserve">이나 제조 사업계획서에선 품질관리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품질지표</t>
    </r>
    <r>
      <rPr>
        <sz val="10"/>
        <rFont val="Arial"/>
        <family val="0"/>
        <charset val="1"/>
      </rPr>
      <t xml:space="preserve">(logos) </t>
    </r>
    <r>
      <rPr>
        <sz val="10"/>
        <rFont val="Noto Sans CJK SC"/>
        <family val="2"/>
      </rPr>
      <t xml:space="preserve">문맥이 대부분</t>
    </r>
  </si>
  <si>
    <t xml:space="preserve">sterling</t>
  </si>
  <si>
    <t xml:space="preserve">supremacy</t>
  </si>
  <si>
    <t xml:space="preserve">first-class</t>
  </si>
  <si>
    <t xml:space="preserve">일류</t>
  </si>
  <si>
    <r>
      <rPr>
        <sz val="10"/>
        <rFont val="Noto Sans CJK SC"/>
        <family val="2"/>
      </rPr>
      <t xml:space="preserve">일류</t>
    </r>
    <r>
      <rPr>
        <sz val="10"/>
        <rFont val="Arial"/>
        <family val="0"/>
        <charset val="1"/>
      </rPr>
      <t xml:space="preserve">/NNG</t>
    </r>
  </si>
  <si>
    <t xml:space="preserve">merit</t>
  </si>
  <si>
    <t xml:space="preserve">장점</t>
  </si>
  <si>
    <r>
      <rPr>
        <sz val="10"/>
        <rFont val="Noto Sans CJK SC"/>
        <family val="2"/>
      </rPr>
      <t xml:space="preserve">장점</t>
    </r>
    <r>
      <rPr>
        <sz val="10"/>
        <rFont val="Arial"/>
        <family val="0"/>
        <charset val="1"/>
      </rPr>
      <t xml:space="preserve">/NNG</t>
    </r>
  </si>
  <si>
    <t xml:space="preserve">impressive</t>
  </si>
  <si>
    <t xml:space="preserve">인상적</t>
  </si>
  <si>
    <r>
      <rPr>
        <sz val="10"/>
        <rFont val="Noto Sans CJK SC"/>
        <family val="2"/>
      </rPr>
      <t xml:space="preserve">인상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적</t>
    </r>
    <r>
      <rPr>
        <sz val="10"/>
        <rFont val="Arial"/>
        <family val="0"/>
        <charset val="1"/>
      </rPr>
      <t xml:space="preserve">/XSN</t>
    </r>
  </si>
  <si>
    <r>
      <rPr>
        <sz val="10"/>
        <rFont val="Noto Sans CJK SC"/>
        <family val="2"/>
      </rPr>
      <t xml:space="preserve">인상</t>
    </r>
    <r>
      <rPr>
        <sz val="10"/>
        <rFont val="Arial"/>
        <family val="0"/>
        <charset val="1"/>
      </rPr>
      <t xml:space="preserve">/NNG</t>
    </r>
  </si>
  <si>
    <t xml:space="preserve">admirable</t>
  </si>
  <si>
    <t xml:space="preserve">first-rate</t>
  </si>
  <si>
    <t xml:space="preserve">tip-top</t>
  </si>
  <si>
    <t xml:space="preserve">최상</t>
  </si>
  <si>
    <r>
      <rPr>
        <sz val="10"/>
        <rFont val="Noto Sans CJK SC"/>
        <family val="2"/>
      </rPr>
      <t xml:space="preserve">최상</t>
    </r>
    <r>
      <rPr>
        <sz val="10"/>
        <rFont val="Arial"/>
        <family val="0"/>
        <charset val="1"/>
      </rPr>
      <t xml:space="preserve">/NNG</t>
    </r>
  </si>
  <si>
    <t xml:space="preserve">extraordinary</t>
  </si>
  <si>
    <t xml:space="preserve">비범</t>
  </si>
  <si>
    <r>
      <rPr>
        <sz val="10"/>
        <rFont val="Noto Sans CJK SC"/>
        <family val="2"/>
      </rPr>
      <t xml:space="preserve">비범</t>
    </r>
    <r>
      <rPr>
        <sz val="10"/>
        <rFont val="Arial"/>
        <family val="0"/>
        <charset val="1"/>
      </rPr>
      <t xml:space="preserve">/XR</t>
    </r>
  </si>
  <si>
    <t xml:space="preserve">remarkable</t>
  </si>
  <si>
    <t xml:space="preserve">괄목</t>
  </si>
  <si>
    <r>
      <rPr>
        <sz val="10"/>
        <rFont val="Noto Sans CJK SC"/>
        <family val="2"/>
      </rPr>
      <t xml:space="preserve">괄목</t>
    </r>
    <r>
      <rPr>
        <sz val="10"/>
        <rFont val="Arial"/>
        <family val="0"/>
        <charset val="1"/>
      </rPr>
      <t xml:space="preserve">/XR</t>
    </r>
  </si>
  <si>
    <t xml:space="preserve">splendid</t>
  </si>
  <si>
    <t xml:space="preserve">great</t>
  </si>
  <si>
    <t xml:space="preserve">위대</t>
  </si>
  <si>
    <r>
      <rPr>
        <sz val="10"/>
        <rFont val="Noto Sans CJK SC"/>
        <family val="2"/>
      </rPr>
      <t xml:space="preserve">위대</t>
    </r>
    <r>
      <rPr>
        <sz val="10"/>
        <rFont val="Arial"/>
        <family val="0"/>
        <charset val="1"/>
      </rPr>
      <t xml:space="preserve">/XR</t>
    </r>
  </si>
  <si>
    <t xml:space="preserve">super</t>
  </si>
  <si>
    <t xml:space="preserve">초</t>
  </si>
  <si>
    <r>
      <rPr>
        <sz val="10"/>
        <rFont val="Noto Sans CJK SC"/>
        <family val="2"/>
      </rPr>
      <t xml:space="preserve">초</t>
    </r>
    <r>
      <rPr>
        <sz val="10"/>
        <rFont val="Arial"/>
        <family val="0"/>
        <charset val="1"/>
      </rPr>
      <t xml:space="preserve">/NNG</t>
    </r>
  </si>
  <si>
    <r>
      <rPr>
        <sz val="10"/>
        <rFont val="Arial"/>
        <family val="0"/>
        <charset val="1"/>
      </rPr>
      <t xml:space="preserve">super </t>
    </r>
    <r>
      <rPr>
        <sz val="10"/>
        <rFont val="Noto Sans CJK SC"/>
        <family val="2"/>
      </rPr>
      <t xml:space="preserve">번역</t>
    </r>
    <r>
      <rPr>
        <sz val="10"/>
        <rFont val="Arial"/>
        <family val="0"/>
        <charset val="1"/>
      </rPr>
      <t xml:space="preserve">. 1</t>
    </r>
    <r>
      <rPr>
        <sz val="10"/>
        <rFont val="Noto Sans CJK SC"/>
        <family val="2"/>
      </rPr>
      <t xml:space="preserve">음절 →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초격차</t>
    </r>
    <r>
      <rPr>
        <sz val="10"/>
        <rFont val="Arial"/>
        <family val="0"/>
        <charset val="1"/>
      </rPr>
      <t xml:space="preserve">','</t>
    </r>
    <r>
      <rPr>
        <sz val="10"/>
        <rFont val="Noto Sans CJK SC"/>
        <family val="2"/>
      </rPr>
      <t xml:space="preserve">초기</t>
    </r>
    <r>
      <rPr>
        <sz val="10"/>
        <rFont val="Arial"/>
        <family val="0"/>
        <charset val="1"/>
      </rPr>
      <t xml:space="preserve">','</t>
    </r>
    <r>
      <rPr>
        <sz val="10"/>
        <rFont val="Noto Sans CJK SC"/>
        <family val="2"/>
      </rPr>
      <t xml:space="preserve">초과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등 과잉매칭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제외 권장</t>
    </r>
  </si>
  <si>
    <t xml:space="preserve">exceptional</t>
  </si>
  <si>
    <t xml:space="preserve">superior</t>
  </si>
  <si>
    <t xml:space="preserve">우월</t>
  </si>
  <si>
    <r>
      <rPr>
        <sz val="10"/>
        <rFont val="Noto Sans CJK SC"/>
        <family val="2"/>
      </rPr>
      <t xml:space="preserve">우월</t>
    </r>
    <r>
      <rPr>
        <sz val="10"/>
        <rFont val="Arial"/>
        <family val="0"/>
        <charset val="1"/>
      </rPr>
      <t xml:space="preserve">/NNG</t>
    </r>
  </si>
  <si>
    <t xml:space="preserve">standout</t>
  </si>
  <si>
    <t xml:space="preserve">두각</t>
  </si>
  <si>
    <r>
      <rPr>
        <sz val="10"/>
        <rFont val="Noto Sans CJK SC"/>
        <family val="2"/>
      </rPr>
      <t xml:space="preserve">두각</t>
    </r>
    <r>
      <rPr>
        <sz val="10"/>
        <rFont val="Arial"/>
        <family val="0"/>
        <charset val="1"/>
      </rPr>
      <t xml:space="preserve">/NNG</t>
    </r>
  </si>
  <si>
    <t xml:space="preserve">outstanding</t>
  </si>
  <si>
    <t xml:space="preserve">뛰어나다</t>
  </si>
  <si>
    <r>
      <rPr>
        <sz val="10"/>
        <rFont val="Noto Sans CJK SC"/>
        <family val="2"/>
      </rPr>
      <t xml:space="preserve">뛰어나</t>
    </r>
    <r>
      <rPr>
        <sz val="10"/>
        <rFont val="Arial"/>
        <family val="0"/>
        <charset val="1"/>
      </rPr>
      <t xml:space="preserve">/VA + 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/EC</t>
    </r>
  </si>
  <si>
    <r>
      <rPr>
        <sz val="10"/>
        <rFont val="Noto Sans CJK SC"/>
        <family val="2"/>
      </rPr>
      <t xml:space="preserve">뛰어나</t>
    </r>
    <r>
      <rPr>
        <sz val="10"/>
        <rFont val="Arial"/>
        <family val="0"/>
        <charset val="1"/>
      </rPr>
      <t xml:space="preserve">/VA</t>
    </r>
  </si>
  <si>
    <t xml:space="preserve">supreme</t>
  </si>
  <si>
    <t xml:space="preserve">transcendent</t>
  </si>
  <si>
    <t xml:space="preserve">초월</t>
  </si>
  <si>
    <r>
      <rPr>
        <sz val="10"/>
        <rFont val="Noto Sans CJK SC"/>
        <family val="2"/>
      </rPr>
      <t xml:space="preserve">초월</t>
    </r>
    <r>
      <rPr>
        <sz val="10"/>
        <rFont val="Arial"/>
        <family val="0"/>
        <charset val="1"/>
      </rPr>
      <t xml:space="preserve">/NNG</t>
    </r>
  </si>
  <si>
    <r>
      <rPr>
        <sz val="10"/>
        <rFont val="Arial"/>
        <family val="0"/>
        <charset val="1"/>
      </rPr>
      <t xml:space="preserve">transcendent. '</t>
    </r>
    <r>
      <rPr>
        <sz val="10"/>
        <rFont val="Noto Sans CJK SC"/>
        <family val="2"/>
      </rPr>
      <t xml:space="preserve">초</t>
    </r>
    <r>
      <rPr>
        <sz val="10"/>
        <rFont val="Arial"/>
        <family val="0"/>
        <charset val="1"/>
      </rPr>
      <t xml:space="preserve">' 1</t>
    </r>
    <r>
      <rPr>
        <sz val="10"/>
        <rFont val="Noto Sans CJK SC"/>
        <family val="2"/>
      </rPr>
      <t xml:space="preserve">음절과 별도</t>
    </r>
  </si>
  <si>
    <t xml:space="preserve">surpass</t>
  </si>
  <si>
    <t xml:space="preserve">능가</t>
  </si>
  <si>
    <r>
      <rPr>
        <sz val="10"/>
        <rFont val="Noto Sans CJK SC"/>
        <family val="2"/>
      </rPr>
      <t xml:space="preserve">능가</t>
    </r>
    <r>
      <rPr>
        <sz val="10"/>
        <rFont val="Arial"/>
        <family val="0"/>
        <charset val="1"/>
      </rPr>
      <t xml:space="preserve">/NNG</t>
    </r>
  </si>
  <si>
    <t xml:space="preserve">excel</t>
  </si>
  <si>
    <t xml:space="preserve">goodness</t>
  </si>
  <si>
    <t xml:space="preserve">선함</t>
  </si>
  <si>
    <r>
      <rPr>
        <sz val="10"/>
        <rFont val="Noto Sans CJK SC"/>
        <family val="2"/>
      </rPr>
      <t xml:space="preserve">선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함</t>
    </r>
    <r>
      <rPr>
        <sz val="10"/>
        <rFont val="Arial"/>
        <family val="0"/>
        <charset val="1"/>
      </rPr>
      <t xml:space="preserve">/NNG</t>
    </r>
  </si>
  <si>
    <t xml:space="preserve">good</t>
  </si>
  <si>
    <t xml:space="preserve">좋다</t>
  </si>
  <si>
    <r>
      <rPr>
        <sz val="10"/>
        <rFont val="Noto Sans CJK SC"/>
        <family val="2"/>
      </rPr>
      <t xml:space="preserve">좋</t>
    </r>
    <r>
      <rPr>
        <sz val="10"/>
        <rFont val="Arial"/>
        <family val="0"/>
        <charset val="1"/>
      </rPr>
      <t xml:space="preserve">/VA + 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/EC</t>
    </r>
  </si>
  <si>
    <r>
      <rPr>
        <sz val="10"/>
        <rFont val="Noto Sans CJK SC"/>
        <family val="2"/>
      </rPr>
      <t xml:space="preserve">좋</t>
    </r>
    <r>
      <rPr>
        <sz val="10"/>
        <rFont val="Arial"/>
        <family val="0"/>
        <charset val="1"/>
      </rPr>
      <t xml:space="preserve">/VA</t>
    </r>
  </si>
  <si>
    <t xml:space="preserve">선</t>
  </si>
  <si>
    <r>
      <rPr>
        <sz val="10"/>
        <rFont val="Noto Sans CJK SC"/>
        <family val="2"/>
      </rPr>
      <t xml:space="preserve">선</t>
    </r>
    <r>
      <rPr>
        <sz val="10"/>
        <rFont val="Arial"/>
        <family val="0"/>
        <charset val="1"/>
      </rPr>
      <t xml:space="preserve">/NNG</t>
    </r>
  </si>
  <si>
    <r>
      <rPr>
        <sz val="10"/>
        <rFont val="Arial"/>
        <family val="0"/>
        <charset val="1"/>
      </rPr>
      <t xml:space="preserve">good </t>
    </r>
    <r>
      <rPr>
        <sz val="10"/>
        <rFont val="Noto Sans CJK SC"/>
        <family val="2"/>
      </rPr>
      <t xml:space="preserve">번역</t>
    </r>
    <r>
      <rPr>
        <sz val="10"/>
        <rFont val="Arial"/>
        <family val="0"/>
        <charset val="1"/>
      </rPr>
      <t xml:space="preserve">. 1</t>
    </r>
    <r>
      <rPr>
        <sz val="10"/>
        <rFont val="Noto Sans CJK SC"/>
        <family val="2"/>
      </rPr>
      <t xml:space="preserve">음절 →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선도</t>
    </r>
    <r>
      <rPr>
        <sz val="10"/>
        <rFont val="Arial"/>
        <family val="0"/>
        <charset val="1"/>
      </rPr>
      <t xml:space="preserve">','</t>
    </r>
    <r>
      <rPr>
        <sz val="10"/>
        <rFont val="Noto Sans CJK SC"/>
        <family val="2"/>
      </rPr>
      <t xml:space="preserve">선정</t>
    </r>
    <r>
      <rPr>
        <sz val="10"/>
        <rFont val="Arial"/>
        <family val="0"/>
        <charset val="1"/>
      </rPr>
      <t xml:space="preserve">','</t>
    </r>
    <r>
      <rPr>
        <sz val="10"/>
        <rFont val="Noto Sans CJK SC"/>
        <family val="2"/>
      </rPr>
      <t xml:space="preserve">사전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등 과잉매칭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제외 권장</t>
    </r>
  </si>
  <si>
    <t xml:space="preserve">nobility</t>
  </si>
  <si>
    <t xml:space="preserve">고결</t>
  </si>
  <si>
    <r>
      <rPr>
        <sz val="10"/>
        <rFont val="Noto Sans CJK SC"/>
        <family val="2"/>
      </rPr>
      <t xml:space="preserve">고결</t>
    </r>
    <r>
      <rPr>
        <sz val="10"/>
        <rFont val="Arial"/>
        <family val="0"/>
        <charset val="1"/>
      </rPr>
      <t xml:space="preserve">/NNG</t>
    </r>
  </si>
  <si>
    <t xml:space="preserve">wholesome</t>
  </si>
  <si>
    <t xml:space="preserve">big-hearted</t>
  </si>
  <si>
    <t xml:space="preserve">너그럽다</t>
  </si>
  <si>
    <r>
      <rPr>
        <sz val="10"/>
        <rFont val="Noto Sans CJK SC"/>
        <family val="2"/>
      </rPr>
      <t xml:space="preserve">너그럽</t>
    </r>
    <r>
      <rPr>
        <sz val="10"/>
        <rFont val="Arial"/>
        <family val="0"/>
        <charset val="1"/>
      </rPr>
      <t xml:space="preserve">/VA + 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/EF</t>
    </r>
  </si>
  <si>
    <r>
      <rPr>
        <sz val="10"/>
        <rFont val="Noto Sans CJK SC"/>
        <family val="2"/>
      </rPr>
      <t xml:space="preserve">너그럽</t>
    </r>
    <r>
      <rPr>
        <sz val="10"/>
        <rFont val="Arial"/>
        <family val="0"/>
        <charset val="1"/>
      </rPr>
      <t xml:space="preserve">/VA</t>
    </r>
  </si>
  <si>
    <t xml:space="preserve">soft-hearted</t>
  </si>
  <si>
    <t xml:space="preserve">다정</t>
  </si>
  <si>
    <r>
      <rPr>
        <sz val="10"/>
        <rFont val="Noto Sans CJK SC"/>
        <family val="2"/>
      </rPr>
      <t xml:space="preserve">다정</t>
    </r>
    <r>
      <rPr>
        <sz val="10"/>
        <rFont val="Arial"/>
        <family val="0"/>
        <charset val="1"/>
      </rPr>
      <t xml:space="preserve">/NNG</t>
    </r>
  </si>
  <si>
    <t xml:space="preserve">good-hearted</t>
  </si>
  <si>
    <t xml:space="preserve">선량</t>
  </si>
  <si>
    <r>
      <rPr>
        <sz val="10"/>
        <rFont val="Noto Sans CJK SC"/>
        <family val="2"/>
      </rPr>
      <t xml:space="preserve">선량</t>
    </r>
    <r>
      <rPr>
        <sz val="10"/>
        <rFont val="Arial"/>
        <family val="0"/>
        <charset val="1"/>
      </rPr>
      <t xml:space="preserve">/NNG</t>
    </r>
  </si>
  <si>
    <t xml:space="preserve">warm-hearted</t>
  </si>
  <si>
    <t xml:space="preserve">따뜻하다</t>
  </si>
  <si>
    <r>
      <rPr>
        <sz val="10"/>
        <rFont val="Noto Sans CJK SC"/>
        <family val="2"/>
      </rPr>
      <t xml:space="preserve">따뜻</t>
    </r>
    <r>
      <rPr>
        <sz val="10"/>
        <rFont val="Arial"/>
        <family val="0"/>
        <charset val="1"/>
      </rPr>
      <t xml:space="preserve">/XR + </t>
    </r>
    <r>
      <rPr>
        <sz val="10"/>
        <rFont val="Noto Sans CJK SC"/>
        <family val="2"/>
      </rPr>
      <t xml:space="preserve">하</t>
    </r>
    <r>
      <rPr>
        <sz val="10"/>
        <rFont val="Arial"/>
        <family val="0"/>
        <charset val="1"/>
      </rPr>
      <t xml:space="preserve">/XSA + 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/EC</t>
    </r>
  </si>
  <si>
    <r>
      <rPr>
        <sz val="10"/>
        <rFont val="Noto Sans CJK SC"/>
        <family val="2"/>
      </rPr>
      <t xml:space="preserve">따뜻</t>
    </r>
    <r>
      <rPr>
        <sz val="10"/>
        <rFont val="Arial"/>
        <family val="0"/>
        <charset val="1"/>
      </rPr>
      <t xml:space="preserve">/XR</t>
    </r>
  </si>
  <si>
    <t xml:space="preserve">generous</t>
  </si>
  <si>
    <t xml:space="preserve">관대</t>
  </si>
  <si>
    <r>
      <rPr>
        <sz val="10"/>
        <rFont val="Noto Sans CJK SC"/>
        <family val="2"/>
      </rPr>
      <t xml:space="preserve">관대</t>
    </r>
    <r>
      <rPr>
        <sz val="10"/>
        <rFont val="Arial"/>
        <family val="0"/>
        <charset val="1"/>
      </rPr>
      <t xml:space="preserve">/NNG</t>
    </r>
  </si>
  <si>
    <t xml:space="preserve">quintessence</t>
  </si>
  <si>
    <t xml:space="preserve">정수</t>
  </si>
  <si>
    <r>
      <rPr>
        <sz val="10"/>
        <rFont val="Noto Sans CJK SC"/>
        <family val="2"/>
      </rPr>
      <t xml:space="preserve">정수</t>
    </r>
    <r>
      <rPr>
        <sz val="10"/>
        <rFont val="Arial"/>
        <family val="0"/>
        <charset val="1"/>
      </rPr>
      <t xml:space="preserve">/NNG</t>
    </r>
  </si>
  <si>
    <t xml:space="preserve">help</t>
  </si>
  <si>
    <t xml:space="preserve">도움</t>
  </si>
  <si>
    <r>
      <rPr>
        <sz val="10"/>
        <rFont val="Noto Sans CJK SC"/>
        <family val="2"/>
      </rPr>
      <t xml:space="preserve">도움</t>
    </r>
    <r>
      <rPr>
        <sz val="10"/>
        <rFont val="Arial"/>
        <family val="0"/>
        <charset val="1"/>
      </rPr>
      <t xml:space="preserve">/NNG</t>
    </r>
  </si>
  <si>
    <t xml:space="preserve">harmony</t>
  </si>
  <si>
    <t xml:space="preserve">조화</t>
  </si>
  <si>
    <r>
      <rPr>
        <sz val="10"/>
        <rFont val="Noto Sans CJK SC"/>
        <family val="2"/>
      </rPr>
      <t xml:space="preserve">조화</t>
    </r>
    <r>
      <rPr>
        <sz val="10"/>
        <rFont val="Arial"/>
        <family val="0"/>
        <charset val="1"/>
      </rPr>
      <t xml:space="preserve">/NNG</t>
    </r>
  </si>
  <si>
    <t xml:space="preserve">grateful</t>
  </si>
  <si>
    <t xml:space="preserve">감사</t>
  </si>
  <si>
    <r>
      <rPr>
        <sz val="10"/>
        <rFont val="Noto Sans CJK SC"/>
        <family val="2"/>
      </rPr>
      <t xml:space="preserve">감사</t>
    </r>
    <r>
      <rPr>
        <sz val="10"/>
        <rFont val="Arial"/>
        <family val="0"/>
        <charset val="1"/>
      </rPr>
      <t xml:space="preserve">/NNG</t>
    </r>
  </si>
  <si>
    <t xml:space="preserve">courteous</t>
  </si>
  <si>
    <t xml:space="preserve">정중</t>
  </si>
  <si>
    <r>
      <rPr>
        <sz val="10"/>
        <rFont val="Noto Sans CJK SC"/>
        <family val="2"/>
      </rPr>
      <t xml:space="preserve">정중</t>
    </r>
    <r>
      <rPr>
        <sz val="10"/>
        <rFont val="Arial"/>
        <family val="0"/>
        <charset val="1"/>
      </rPr>
      <t xml:space="preserve">/XR</t>
    </r>
  </si>
  <si>
    <t xml:space="preserve">mercy</t>
  </si>
  <si>
    <t xml:space="preserve">자비</t>
  </si>
  <si>
    <r>
      <rPr>
        <sz val="10"/>
        <rFont val="Noto Sans CJK SC"/>
        <family val="2"/>
      </rPr>
      <t xml:space="preserve">자비</t>
    </r>
    <r>
      <rPr>
        <sz val="10"/>
        <rFont val="Arial"/>
        <family val="0"/>
        <charset val="1"/>
      </rPr>
      <t xml:space="preserve">/NNG</t>
    </r>
  </si>
  <si>
    <t xml:space="preserve">thoughtful</t>
  </si>
  <si>
    <t xml:space="preserve">사려</t>
  </si>
  <si>
    <r>
      <rPr>
        <sz val="10"/>
        <rFont val="Noto Sans CJK SC"/>
        <family val="2"/>
      </rPr>
      <t xml:space="preserve">사려</t>
    </r>
    <r>
      <rPr>
        <sz val="10"/>
        <rFont val="Arial"/>
        <family val="0"/>
        <charset val="1"/>
      </rPr>
      <t xml:space="preserve">/NNG</t>
    </r>
  </si>
  <si>
    <t xml:space="preserve">tolerant</t>
  </si>
  <si>
    <t xml:space="preserve">관용</t>
  </si>
  <si>
    <r>
      <rPr>
        <sz val="10"/>
        <rFont val="Noto Sans CJK SC"/>
        <family val="2"/>
      </rPr>
      <t xml:space="preserve">관용</t>
    </r>
    <r>
      <rPr>
        <sz val="10"/>
        <rFont val="Arial"/>
        <family val="0"/>
        <charset val="1"/>
      </rPr>
      <t xml:space="preserve">/NNG</t>
    </r>
  </si>
  <si>
    <t xml:space="preserve">goodwill</t>
  </si>
  <si>
    <t xml:space="preserve">선의</t>
  </si>
  <si>
    <r>
      <rPr>
        <sz val="10"/>
        <rFont val="Noto Sans CJK SC"/>
        <family val="2"/>
      </rPr>
      <t xml:space="preserve">선의</t>
    </r>
    <r>
      <rPr>
        <sz val="10"/>
        <rFont val="Arial"/>
        <family val="0"/>
        <charset val="1"/>
      </rPr>
      <t xml:space="preserve">/NNG</t>
    </r>
  </si>
  <si>
    <t xml:space="preserve">beneficence</t>
  </si>
  <si>
    <t xml:space="preserve">선행</t>
  </si>
  <si>
    <r>
      <rPr>
        <sz val="10"/>
        <rFont val="Noto Sans CJK SC"/>
        <family val="2"/>
      </rPr>
      <t xml:space="preserve">선행</t>
    </r>
    <r>
      <rPr>
        <sz val="10"/>
        <rFont val="Arial"/>
        <family val="0"/>
        <charset val="1"/>
      </rPr>
      <t xml:space="preserve">/NNG</t>
    </r>
  </si>
  <si>
    <t xml:space="preserve">gentle</t>
  </si>
  <si>
    <t xml:space="preserve">온화</t>
  </si>
  <si>
    <r>
      <rPr>
        <sz val="10"/>
        <rFont val="Noto Sans CJK SC"/>
        <family val="2"/>
      </rPr>
      <t xml:space="preserve">온화</t>
    </r>
    <r>
      <rPr>
        <sz val="10"/>
        <rFont val="Arial"/>
        <family val="0"/>
        <charset val="1"/>
      </rPr>
      <t xml:space="preserve">/XR</t>
    </r>
  </si>
  <si>
    <t xml:space="preserve">kindness</t>
  </si>
  <si>
    <t xml:space="preserve">친절</t>
  </si>
  <si>
    <r>
      <rPr>
        <sz val="10"/>
        <rFont val="Noto Sans CJK SC"/>
        <family val="2"/>
      </rPr>
      <t xml:space="preserve">친절</t>
    </r>
    <r>
      <rPr>
        <sz val="10"/>
        <rFont val="Arial"/>
        <family val="0"/>
        <charset val="1"/>
      </rPr>
      <t xml:space="preserve">/NNG</t>
    </r>
  </si>
  <si>
    <t xml:space="preserve">humane</t>
  </si>
  <si>
    <t xml:space="preserve">인도적</t>
  </si>
  <si>
    <r>
      <rPr>
        <sz val="10"/>
        <rFont val="Noto Sans CJK SC"/>
        <family val="2"/>
      </rPr>
      <t xml:space="preserve">인도</t>
    </r>
    <r>
      <rPr>
        <sz val="10"/>
        <rFont val="Arial"/>
        <family val="0"/>
        <charset val="1"/>
      </rPr>
      <t xml:space="preserve">/NNP + </t>
    </r>
    <r>
      <rPr>
        <sz val="10"/>
        <rFont val="Noto Sans CJK SC"/>
        <family val="2"/>
      </rPr>
      <t xml:space="preserve">적</t>
    </r>
    <r>
      <rPr>
        <sz val="10"/>
        <rFont val="Arial"/>
        <family val="0"/>
        <charset val="1"/>
      </rPr>
      <t xml:space="preserve">/XSN</t>
    </r>
  </si>
  <si>
    <r>
      <rPr>
        <sz val="10"/>
        <rFont val="Noto Sans CJK SC"/>
        <family val="2"/>
      </rPr>
      <t xml:space="preserve">인도</t>
    </r>
    <r>
      <rPr>
        <sz val="10"/>
        <rFont val="Arial"/>
        <family val="0"/>
        <charset val="1"/>
      </rPr>
      <t xml:space="preserve">/NNP</t>
    </r>
  </si>
  <si>
    <r>
      <rPr>
        <sz val="10"/>
        <rFont val="Arial"/>
        <family val="0"/>
        <charset val="1"/>
      </rPr>
      <t xml:space="preserve">Kiwi</t>
    </r>
    <r>
      <rPr>
        <sz val="10"/>
        <rFont val="Noto Sans CJK SC"/>
        <family val="2"/>
      </rPr>
      <t xml:space="preserve">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인도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를 고유명사</t>
    </r>
    <r>
      <rPr>
        <sz val="10"/>
        <rFont val="Arial"/>
        <family val="0"/>
        <charset val="1"/>
      </rPr>
      <t xml:space="preserve">(India)</t>
    </r>
    <r>
      <rPr>
        <sz val="10"/>
        <rFont val="Noto Sans CJK SC"/>
        <family val="2"/>
      </rPr>
      <t xml:space="preserve">로 태깅 → 키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인도</t>
    </r>
    <r>
      <rPr>
        <sz val="10"/>
        <rFont val="Arial"/>
        <family val="0"/>
        <charset val="1"/>
      </rPr>
      <t xml:space="preserve">/NNP'</t>
    </r>
    <r>
      <rPr>
        <sz val="10"/>
        <rFont val="Noto Sans CJK SC"/>
        <family val="2"/>
      </rPr>
      <t xml:space="preserve">는 국가명 인도와 충돌</t>
    </r>
    <r>
      <rPr>
        <sz val="10"/>
        <rFont val="Arial"/>
        <family val="0"/>
        <charset val="1"/>
      </rPr>
      <t xml:space="preserve">. '</t>
    </r>
    <r>
      <rPr>
        <sz val="10"/>
        <rFont val="Noto Sans CJK SC"/>
        <family val="2"/>
      </rPr>
      <t xml:space="preserve">인도주의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로 대체 권장</t>
    </r>
  </si>
  <si>
    <t xml:space="preserve">lenient</t>
  </si>
  <si>
    <t xml:space="preserve">fatherly</t>
  </si>
  <si>
    <t xml:space="preserve">부성</t>
  </si>
  <si>
    <r>
      <rPr>
        <sz val="10"/>
        <rFont val="Noto Sans CJK SC"/>
        <family val="2"/>
      </rPr>
      <t xml:space="preserve">부성</t>
    </r>
    <r>
      <rPr>
        <sz val="10"/>
        <rFont val="Arial"/>
        <family val="0"/>
        <charset val="1"/>
      </rPr>
      <t xml:space="preserve">/NNG</t>
    </r>
  </si>
  <si>
    <t xml:space="preserve">motherly</t>
  </si>
  <si>
    <t xml:space="preserve">모성</t>
  </si>
  <si>
    <r>
      <rPr>
        <sz val="10"/>
        <rFont val="Noto Sans CJK SC"/>
        <family val="2"/>
      </rPr>
      <t xml:space="preserve">모성</t>
    </r>
    <r>
      <rPr>
        <sz val="10"/>
        <rFont val="Arial"/>
        <family val="0"/>
        <charset val="1"/>
      </rPr>
      <t xml:space="preserve">/NNG</t>
    </r>
  </si>
  <si>
    <t xml:space="preserve">sympathy</t>
  </si>
  <si>
    <t xml:space="preserve">동정</t>
  </si>
  <si>
    <r>
      <rPr>
        <sz val="10"/>
        <rFont val="Noto Sans CJK SC"/>
        <family val="2"/>
      </rPr>
      <t xml:space="preserve">동정</t>
    </r>
    <r>
      <rPr>
        <sz val="10"/>
        <rFont val="Arial"/>
        <family val="0"/>
        <charset val="1"/>
      </rPr>
      <t xml:space="preserve">/NNG</t>
    </r>
  </si>
  <si>
    <t xml:space="preserve">empathy</t>
  </si>
  <si>
    <t xml:space="preserve">paternal</t>
  </si>
  <si>
    <t xml:space="preserve">maternal</t>
  </si>
  <si>
    <t xml:space="preserve">gracious</t>
  </si>
  <si>
    <t xml:space="preserve">자애</t>
  </si>
  <si>
    <r>
      <rPr>
        <sz val="10"/>
        <rFont val="Noto Sans CJK SC"/>
        <family val="2"/>
      </rPr>
      <t xml:space="preserve">자애</t>
    </r>
    <r>
      <rPr>
        <sz val="10"/>
        <rFont val="Arial"/>
        <family val="0"/>
        <charset val="1"/>
      </rPr>
      <t xml:space="preserve">/NNG</t>
    </r>
  </si>
  <si>
    <t xml:space="preserve">compassion</t>
  </si>
  <si>
    <t xml:space="preserve">broadminded</t>
  </si>
  <si>
    <t xml:space="preserve">포용</t>
  </si>
  <si>
    <r>
      <rPr>
        <sz val="10"/>
        <rFont val="Noto Sans CJK SC"/>
        <family val="2"/>
      </rPr>
      <t xml:space="preserve">포용</t>
    </r>
    <r>
      <rPr>
        <sz val="10"/>
        <rFont val="Arial"/>
        <family val="0"/>
        <charset val="1"/>
      </rPr>
      <t xml:space="preserve">/NNG</t>
    </r>
  </si>
  <si>
    <t xml:space="preserve">gift</t>
  </si>
  <si>
    <t xml:space="preserve">선물</t>
  </si>
  <si>
    <r>
      <rPr>
        <sz val="10"/>
        <rFont val="Noto Sans CJK SC"/>
        <family val="2"/>
      </rPr>
      <t xml:space="preserve">선물</t>
    </r>
    <r>
      <rPr>
        <sz val="10"/>
        <rFont val="Arial"/>
        <family val="0"/>
        <charset val="1"/>
      </rPr>
      <t xml:space="preserve">/NNG</t>
    </r>
  </si>
  <si>
    <t xml:space="preserve">accommodate</t>
  </si>
  <si>
    <t xml:space="preserve">수용</t>
  </si>
  <si>
    <r>
      <rPr>
        <sz val="10"/>
        <rFont val="Noto Sans CJK SC"/>
        <family val="2"/>
      </rPr>
      <t xml:space="preserve">수용</t>
    </r>
    <r>
      <rPr>
        <sz val="10"/>
        <rFont val="Arial"/>
        <family val="0"/>
        <charset val="1"/>
      </rPr>
      <t xml:space="preserve">/NNG</t>
    </r>
  </si>
  <si>
    <t xml:space="preserve">donate</t>
  </si>
  <si>
    <t xml:space="preserve">기부</t>
  </si>
  <si>
    <r>
      <rPr>
        <sz val="10"/>
        <rFont val="Noto Sans CJK SC"/>
        <family val="2"/>
      </rPr>
      <t xml:space="preserve">기부</t>
    </r>
    <r>
      <rPr>
        <sz val="10"/>
        <rFont val="Arial"/>
        <family val="0"/>
        <charset val="1"/>
      </rPr>
      <t xml:space="preserve">/NNG</t>
    </r>
  </si>
  <si>
    <t xml:space="preserve">oblige</t>
  </si>
  <si>
    <t xml:space="preserve">호의</t>
  </si>
  <si>
    <r>
      <rPr>
        <sz val="10"/>
        <rFont val="Noto Sans CJK SC"/>
        <family val="2"/>
      </rPr>
      <t xml:space="preserve">호의</t>
    </r>
    <r>
      <rPr>
        <sz val="10"/>
        <rFont val="Arial"/>
        <family val="0"/>
        <charset val="1"/>
      </rPr>
      <t xml:space="preserve">/NNG</t>
    </r>
  </si>
  <si>
    <t xml:space="preserve">benevolent</t>
  </si>
  <si>
    <t xml:space="preserve">well-meaning</t>
  </si>
  <si>
    <t xml:space="preserve">aid</t>
  </si>
  <si>
    <t xml:space="preserve">원조</t>
  </si>
  <si>
    <r>
      <rPr>
        <sz val="10"/>
        <rFont val="Noto Sans CJK SC"/>
        <family val="2"/>
      </rPr>
      <t xml:space="preserve">원조</t>
    </r>
    <r>
      <rPr>
        <sz val="10"/>
        <rFont val="Arial"/>
        <family val="0"/>
        <charset val="1"/>
      </rPr>
      <t xml:space="preserve">/NNG</t>
    </r>
  </si>
  <si>
    <t xml:space="preserve">지원</t>
  </si>
  <si>
    <r>
      <rPr>
        <sz val="10"/>
        <rFont val="Noto Sans CJK SC"/>
        <family val="2"/>
      </rPr>
      <t xml:space="preserve">지원</t>
    </r>
    <r>
      <rPr>
        <sz val="10"/>
        <rFont val="Arial"/>
        <family val="0"/>
        <charset val="1"/>
      </rPr>
      <t xml:space="preserve">/NNG</t>
    </r>
  </si>
  <si>
    <r>
      <rPr>
        <sz val="10"/>
        <rFont val="Arial"/>
        <family val="0"/>
        <charset val="1"/>
      </rPr>
      <t xml:space="preserve">support. '</t>
    </r>
    <r>
      <rPr>
        <sz val="10"/>
        <rFont val="Noto Sans CJK SC"/>
        <family val="2"/>
      </rPr>
      <t xml:space="preserve">정부지원</t>
    </r>
    <r>
      <rPr>
        <sz val="10"/>
        <rFont val="Arial"/>
        <family val="0"/>
        <charset val="1"/>
      </rPr>
      <t xml:space="preserve">','</t>
    </r>
    <r>
      <rPr>
        <sz val="10"/>
        <rFont val="Noto Sans CJK SC"/>
        <family val="2"/>
      </rPr>
      <t xml:space="preserve">지원사업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등 제도명사 반복 → 과잉집계 위험</t>
    </r>
  </si>
  <si>
    <t xml:space="preserve">altruistic</t>
  </si>
  <si>
    <t xml:space="preserve">이타</t>
  </si>
  <si>
    <r>
      <rPr>
        <sz val="10"/>
        <rFont val="Noto Sans CJK SC"/>
        <family val="2"/>
      </rPr>
      <t xml:space="preserve">이타</t>
    </r>
    <r>
      <rPr>
        <sz val="10"/>
        <rFont val="Arial"/>
        <family val="0"/>
        <charset val="1"/>
      </rPr>
      <t xml:space="preserve">/NNG</t>
    </r>
  </si>
  <si>
    <t xml:space="preserve">unselfish</t>
  </si>
  <si>
    <t xml:space="preserve">considerate</t>
  </si>
  <si>
    <t xml:space="preserve">benign</t>
  </si>
  <si>
    <t xml:space="preserve">bounteous</t>
  </si>
  <si>
    <t xml:space="preserve">풍족</t>
  </si>
  <si>
    <r>
      <rPr>
        <sz val="10"/>
        <rFont val="Noto Sans CJK SC"/>
        <family val="2"/>
      </rPr>
      <t xml:space="preserve">풍족</t>
    </r>
    <r>
      <rPr>
        <sz val="10"/>
        <rFont val="Arial"/>
        <family val="0"/>
        <charset val="1"/>
      </rPr>
      <t xml:space="preserve">/XR</t>
    </r>
  </si>
  <si>
    <t xml:space="preserve">open-handed</t>
  </si>
  <si>
    <t xml:space="preserve">후하다</t>
  </si>
  <si>
    <r>
      <rPr>
        <sz val="10"/>
        <rFont val="Noto Sans CJK SC"/>
        <family val="2"/>
      </rPr>
      <t xml:space="preserve">후하</t>
    </r>
    <r>
      <rPr>
        <sz val="10"/>
        <rFont val="Arial"/>
        <family val="0"/>
        <charset val="1"/>
      </rPr>
      <t xml:space="preserve">/VA + 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/EF</t>
    </r>
  </si>
  <si>
    <r>
      <rPr>
        <sz val="10"/>
        <rFont val="Noto Sans CJK SC"/>
        <family val="2"/>
      </rPr>
      <t xml:space="preserve">후하</t>
    </r>
    <r>
      <rPr>
        <sz val="10"/>
        <rFont val="Arial"/>
        <family val="0"/>
        <charset val="1"/>
      </rPr>
      <t xml:space="preserve">/VA</t>
    </r>
  </si>
  <si>
    <t xml:space="preserve">philanthropy</t>
  </si>
  <si>
    <t xml:space="preserve">박애</t>
  </si>
  <si>
    <r>
      <rPr>
        <sz val="10"/>
        <rFont val="Noto Sans CJK SC"/>
        <family val="2"/>
      </rPr>
      <t xml:space="preserve">박애</t>
    </r>
    <r>
      <rPr>
        <sz val="10"/>
        <rFont val="Arial"/>
        <family val="0"/>
        <charset val="1"/>
      </rPr>
      <t xml:space="preserve">/NNG</t>
    </r>
  </si>
  <si>
    <t xml:space="preserve">humanitarian</t>
  </si>
  <si>
    <t xml:space="preserve">인도주의</t>
  </si>
  <si>
    <r>
      <rPr>
        <sz val="10"/>
        <rFont val="Noto Sans CJK SC"/>
        <family val="2"/>
      </rPr>
      <t xml:space="preserve">인도주의</t>
    </r>
    <r>
      <rPr>
        <sz val="10"/>
        <rFont val="Arial"/>
        <family val="0"/>
        <charset val="1"/>
      </rPr>
      <t xml:space="preserve">/NNG</t>
    </r>
  </si>
  <si>
    <t xml:space="preserve">munificent</t>
  </si>
  <si>
    <t xml:space="preserve">ethical</t>
  </si>
  <si>
    <t xml:space="preserve">윤리</t>
  </si>
  <si>
    <r>
      <rPr>
        <sz val="10"/>
        <rFont val="Noto Sans CJK SC"/>
        <family val="2"/>
      </rPr>
      <t xml:space="preserve">윤리</t>
    </r>
    <r>
      <rPr>
        <sz val="10"/>
        <rFont val="Arial"/>
        <family val="0"/>
        <charset val="1"/>
      </rPr>
      <t xml:space="preserve">/NNG</t>
    </r>
  </si>
  <si>
    <t xml:space="preserve">upright</t>
  </si>
  <si>
    <t xml:space="preserve">honest</t>
  </si>
  <si>
    <t xml:space="preserve">pure</t>
  </si>
  <si>
    <t xml:space="preserve">순수</t>
  </si>
  <si>
    <r>
      <rPr>
        <sz val="10"/>
        <rFont val="Noto Sans CJK SC"/>
        <family val="2"/>
      </rPr>
      <t xml:space="preserve">순수</t>
    </r>
    <r>
      <rPr>
        <sz val="10"/>
        <rFont val="Arial"/>
        <family val="0"/>
        <charset val="1"/>
      </rPr>
      <t xml:space="preserve">/NNG</t>
    </r>
  </si>
  <si>
    <t xml:space="preserve">proper</t>
  </si>
  <si>
    <t xml:space="preserve">적절</t>
  </si>
  <si>
    <r>
      <rPr>
        <sz val="10"/>
        <rFont val="Noto Sans CJK SC"/>
        <family val="2"/>
      </rPr>
      <t xml:space="preserve">적절</t>
    </r>
    <r>
      <rPr>
        <sz val="10"/>
        <rFont val="Arial"/>
        <family val="0"/>
        <charset val="1"/>
      </rPr>
      <t xml:space="preserve">/XR</t>
    </r>
  </si>
  <si>
    <t xml:space="preserve">fair</t>
  </si>
  <si>
    <t xml:space="preserve">lofty</t>
  </si>
  <si>
    <t xml:space="preserve">고상</t>
  </si>
  <si>
    <r>
      <rPr>
        <sz val="10"/>
        <rFont val="Noto Sans CJK SC"/>
        <family val="2"/>
      </rPr>
      <t xml:space="preserve">고상</t>
    </r>
    <r>
      <rPr>
        <sz val="10"/>
        <rFont val="Arial"/>
        <family val="0"/>
        <charset val="1"/>
      </rPr>
      <t xml:space="preserve">/NNG</t>
    </r>
  </si>
  <si>
    <t xml:space="preserve">integrity</t>
  </si>
  <si>
    <t xml:space="preserve">무결성</t>
  </si>
  <si>
    <r>
      <rPr>
        <sz val="10"/>
        <rFont val="Noto Sans CJK SC"/>
        <family val="2"/>
      </rPr>
      <t xml:space="preserve">무</t>
    </r>
    <r>
      <rPr>
        <sz val="10"/>
        <rFont val="Arial"/>
        <family val="0"/>
        <charset val="1"/>
      </rPr>
      <t xml:space="preserve">/XPN + </t>
    </r>
    <r>
      <rPr>
        <sz val="10"/>
        <rFont val="Noto Sans CJK SC"/>
        <family val="2"/>
      </rPr>
      <t xml:space="preserve">결성</t>
    </r>
    <r>
      <rPr>
        <sz val="10"/>
        <rFont val="Arial"/>
        <family val="0"/>
        <charset val="1"/>
      </rPr>
      <t xml:space="preserve">/NNG</t>
    </r>
  </si>
  <si>
    <t xml:space="preserve">golden-rule</t>
  </si>
  <si>
    <t xml:space="preserve">황금률</t>
  </si>
  <si>
    <r>
      <rPr>
        <sz val="10"/>
        <rFont val="Noto Sans CJK SC"/>
        <family val="2"/>
      </rPr>
      <t xml:space="preserve">황금률</t>
    </r>
    <r>
      <rPr>
        <sz val="10"/>
        <rFont val="Arial"/>
        <family val="0"/>
        <charset val="1"/>
      </rPr>
      <t xml:space="preserve">/NNG</t>
    </r>
  </si>
  <si>
    <t xml:space="preserve">authentic</t>
  </si>
  <si>
    <t xml:space="preserve">believable</t>
  </si>
  <si>
    <t xml:space="preserve">믿음직</t>
  </si>
  <si>
    <r>
      <rPr>
        <sz val="10"/>
        <rFont val="Noto Sans CJK SC"/>
        <family val="2"/>
      </rPr>
      <t xml:space="preserve">믿</t>
    </r>
    <r>
      <rPr>
        <sz val="10"/>
        <rFont val="Arial"/>
        <family val="0"/>
        <charset val="1"/>
      </rPr>
      <t xml:space="preserve">/VV + </t>
    </r>
    <r>
      <rPr>
        <sz val="10"/>
        <rFont val="Noto Sans CJK SC"/>
        <family val="2"/>
      </rPr>
      <t xml:space="preserve">음직</t>
    </r>
    <r>
      <rPr>
        <sz val="10"/>
        <rFont val="Arial"/>
        <family val="0"/>
        <charset val="1"/>
      </rPr>
      <t xml:space="preserve">/EC</t>
    </r>
  </si>
  <si>
    <r>
      <rPr>
        <sz val="10"/>
        <rFont val="Noto Sans CJK SC"/>
        <family val="2"/>
      </rPr>
      <t xml:space="preserve">믿</t>
    </r>
    <r>
      <rPr>
        <sz val="10"/>
        <rFont val="Arial"/>
        <family val="0"/>
        <charset val="1"/>
      </rPr>
      <t xml:space="preserve">/VV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</si>
  <si>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음절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과잉매칭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분석 확인 필요</t>
    </r>
  </si>
  <si>
    <t xml:space="preserve">credible</t>
  </si>
  <si>
    <t xml:space="preserve">decent</t>
  </si>
  <si>
    <t xml:space="preserve">devoted</t>
  </si>
  <si>
    <t xml:space="preserve">헌신</t>
  </si>
  <si>
    <r>
      <rPr>
        <sz val="10"/>
        <rFont val="Noto Sans CJK SC"/>
        <family val="2"/>
      </rPr>
      <t xml:space="preserve">헌신</t>
    </r>
    <r>
      <rPr>
        <sz val="10"/>
        <rFont val="Arial"/>
        <family val="0"/>
        <charset val="1"/>
      </rPr>
      <t xml:space="preserve">/NNG</t>
    </r>
  </si>
  <si>
    <t xml:space="preserve">equitable</t>
  </si>
  <si>
    <t xml:space="preserve">공평</t>
  </si>
  <si>
    <r>
      <rPr>
        <sz val="10"/>
        <rFont val="Noto Sans CJK SC"/>
        <family val="2"/>
      </rPr>
      <t xml:space="preserve">공평</t>
    </r>
    <r>
      <rPr>
        <sz val="10"/>
        <rFont val="Arial"/>
        <family val="0"/>
        <charset val="1"/>
      </rPr>
      <t xml:space="preserve">/NNG</t>
    </r>
  </si>
  <si>
    <t xml:space="preserve">even-handed</t>
  </si>
  <si>
    <t xml:space="preserve">faithful</t>
  </si>
  <si>
    <t xml:space="preserve">성실</t>
  </si>
  <si>
    <r>
      <rPr>
        <sz val="10"/>
        <rFont val="Noto Sans CJK SC"/>
        <family val="2"/>
      </rPr>
      <t xml:space="preserve">성실</t>
    </r>
    <r>
      <rPr>
        <sz val="10"/>
        <rFont val="Arial"/>
        <family val="0"/>
        <charset val="1"/>
      </rPr>
      <t xml:space="preserve">/NNG</t>
    </r>
  </si>
  <si>
    <t xml:space="preserve">forthright</t>
  </si>
  <si>
    <t xml:space="preserve">솔직</t>
  </si>
  <si>
    <r>
      <rPr>
        <sz val="10"/>
        <rFont val="Noto Sans CJK SC"/>
        <family val="2"/>
      </rPr>
      <t xml:space="preserve">솔직</t>
    </r>
    <r>
      <rPr>
        <sz val="10"/>
        <rFont val="Arial"/>
        <family val="0"/>
        <charset val="1"/>
      </rPr>
      <t xml:space="preserve">/XR</t>
    </r>
  </si>
  <si>
    <t xml:space="preserve">genuine</t>
  </si>
  <si>
    <t xml:space="preserve">진정</t>
  </si>
  <si>
    <t xml:space="preserve">respectable</t>
  </si>
  <si>
    <t xml:space="preserve">law-abiding</t>
  </si>
  <si>
    <t xml:space="preserve">준법</t>
  </si>
  <si>
    <r>
      <rPr>
        <sz val="10"/>
        <rFont val="Noto Sans CJK SC"/>
        <family val="2"/>
      </rPr>
      <t xml:space="preserve">준법</t>
    </r>
    <r>
      <rPr>
        <sz val="10"/>
        <rFont val="Arial"/>
        <family val="0"/>
        <charset val="1"/>
      </rPr>
      <t xml:space="preserve">/NNG</t>
    </r>
  </si>
  <si>
    <t xml:space="preserve">lawful</t>
  </si>
  <si>
    <t xml:space="preserve">합법</t>
  </si>
  <si>
    <r>
      <rPr>
        <sz val="10"/>
        <rFont val="Noto Sans CJK SC"/>
        <family val="2"/>
      </rPr>
      <t xml:space="preserve">합법</t>
    </r>
    <r>
      <rPr>
        <sz val="10"/>
        <rFont val="Arial"/>
        <family val="0"/>
        <charset val="1"/>
      </rPr>
      <t xml:space="preserve">/NNG</t>
    </r>
  </si>
  <si>
    <t xml:space="preserve">trust</t>
  </si>
  <si>
    <t xml:space="preserve">social</t>
  </si>
  <si>
    <t xml:space="preserve">사회</t>
  </si>
  <si>
    <r>
      <rPr>
        <sz val="10"/>
        <rFont val="Noto Sans CJK SC"/>
        <family val="2"/>
      </rPr>
      <t xml:space="preserve">사회</t>
    </r>
    <r>
      <rPr>
        <sz val="10"/>
        <rFont val="Arial"/>
        <family val="0"/>
        <charset val="1"/>
      </rPr>
      <t xml:space="preserve">/NNG</t>
    </r>
  </si>
  <si>
    <t xml:space="preserve">good-natured</t>
  </si>
  <si>
    <t xml:space="preserve">온순</t>
  </si>
  <si>
    <r>
      <rPr>
        <sz val="10"/>
        <rFont val="Noto Sans CJK SC"/>
        <family val="2"/>
      </rPr>
      <t xml:space="preserve">온순</t>
    </r>
    <r>
      <rPr>
        <sz val="10"/>
        <rFont val="Arial"/>
        <family val="0"/>
        <charset val="1"/>
      </rPr>
      <t xml:space="preserve">/XR</t>
    </r>
  </si>
  <si>
    <t xml:space="preserve">companion</t>
  </si>
  <si>
    <t xml:space="preserve">동반자</t>
  </si>
  <si>
    <r>
      <rPr>
        <sz val="10"/>
        <rFont val="Noto Sans CJK SC"/>
        <family val="2"/>
      </rPr>
      <t xml:space="preserve">동반자</t>
    </r>
    <r>
      <rPr>
        <sz val="10"/>
        <rFont val="Arial"/>
        <family val="0"/>
        <charset val="1"/>
      </rPr>
      <t xml:space="preserve">/NNG</t>
    </r>
  </si>
  <si>
    <t xml:space="preserve">polite</t>
  </si>
  <si>
    <t xml:space="preserve">sociable</t>
  </si>
  <si>
    <t xml:space="preserve">사교</t>
  </si>
  <si>
    <r>
      <rPr>
        <sz val="10"/>
        <rFont val="Noto Sans CJK SC"/>
        <family val="2"/>
      </rPr>
      <t xml:space="preserve">사교</t>
    </r>
    <r>
      <rPr>
        <sz val="10"/>
        <rFont val="Arial"/>
        <family val="0"/>
        <charset val="1"/>
      </rPr>
      <t xml:space="preserve">/NNG</t>
    </r>
  </si>
  <si>
    <t xml:space="preserve">cooperation</t>
  </si>
  <si>
    <t xml:space="preserve">협력</t>
  </si>
  <si>
    <r>
      <rPr>
        <sz val="10"/>
        <rFont val="Noto Sans CJK SC"/>
        <family val="2"/>
      </rPr>
      <t xml:space="preserve">협력</t>
    </r>
    <r>
      <rPr>
        <sz val="10"/>
        <rFont val="Arial"/>
        <family val="0"/>
        <charset val="1"/>
      </rPr>
      <t xml:space="preserve">/NNG</t>
    </r>
  </si>
  <si>
    <t xml:space="preserve">community</t>
  </si>
  <si>
    <t xml:space="preserve">커뮤니티</t>
  </si>
  <si>
    <r>
      <rPr>
        <sz val="10"/>
        <rFont val="Noto Sans CJK SC"/>
        <family val="2"/>
      </rPr>
      <t xml:space="preserve">커뮤니티</t>
    </r>
    <r>
      <rPr>
        <sz val="10"/>
        <rFont val="Arial"/>
        <family val="0"/>
        <charset val="1"/>
      </rPr>
      <t xml:space="preserve">/NNG</t>
    </r>
  </si>
  <si>
    <t xml:space="preserve">지역사회</t>
  </si>
  <si>
    <r>
      <rPr>
        <sz val="10"/>
        <rFont val="Noto Sans CJK SC"/>
        <family val="2"/>
      </rPr>
      <t xml:space="preserve">지역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사회</t>
    </r>
    <r>
      <rPr>
        <sz val="10"/>
        <rFont val="Arial"/>
        <family val="0"/>
        <charset val="1"/>
      </rPr>
      <t xml:space="preserve">/NNG</t>
    </r>
  </si>
  <si>
    <t xml:space="preserve">communal</t>
  </si>
  <si>
    <t xml:space="preserve">공동</t>
  </si>
  <si>
    <r>
      <rPr>
        <sz val="10"/>
        <rFont val="Noto Sans CJK SC"/>
        <family val="2"/>
      </rPr>
      <t xml:space="preserve">공동</t>
    </r>
    <r>
      <rPr>
        <sz val="10"/>
        <rFont val="Arial"/>
        <family val="0"/>
        <charset val="1"/>
      </rPr>
      <t xml:space="preserve">/NNG</t>
    </r>
  </si>
  <si>
    <t xml:space="preserve">society</t>
  </si>
  <si>
    <t xml:space="preserve">civic</t>
  </si>
  <si>
    <t xml:space="preserve">시민</t>
  </si>
  <si>
    <r>
      <rPr>
        <sz val="10"/>
        <rFont val="Noto Sans CJK SC"/>
        <family val="2"/>
      </rPr>
      <t xml:space="preserve">시민</t>
    </r>
    <r>
      <rPr>
        <sz val="10"/>
        <rFont val="Arial"/>
        <family val="0"/>
        <charset val="1"/>
      </rPr>
      <t xml:space="preserve">/NNG</t>
    </r>
  </si>
  <si>
    <t xml:space="preserve">civil</t>
  </si>
  <si>
    <t xml:space="preserve">민간</t>
  </si>
  <si>
    <r>
      <rPr>
        <sz val="10"/>
        <rFont val="Noto Sans CJK SC"/>
        <family val="2"/>
      </rPr>
      <t xml:space="preserve">민간</t>
    </r>
    <r>
      <rPr>
        <sz val="10"/>
        <rFont val="Arial"/>
        <family val="0"/>
        <charset val="1"/>
      </rPr>
      <t xml:space="preserve">/NNG</t>
    </r>
  </si>
  <si>
    <r>
      <rPr>
        <sz val="10"/>
        <rFont val="Arial"/>
        <family val="0"/>
        <charset val="1"/>
      </rPr>
      <t xml:space="preserve">civil </t>
    </r>
    <r>
      <rPr>
        <sz val="10"/>
        <rFont val="Noto Sans CJK SC"/>
        <family val="2"/>
      </rPr>
      <t xml:space="preserve">번역</t>
    </r>
    <r>
      <rPr>
        <sz val="10"/>
        <rFont val="Arial"/>
        <family val="0"/>
        <charset val="1"/>
      </rPr>
      <t xml:space="preserve">. '</t>
    </r>
    <r>
      <rPr>
        <sz val="10"/>
        <rFont val="Noto Sans CJK SC"/>
        <family val="2"/>
      </rPr>
      <t xml:space="preserve">민간 투자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민간 기업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등 제도어 → </t>
    </r>
    <r>
      <rPr>
        <sz val="10"/>
        <rFont val="Arial"/>
        <family val="0"/>
        <charset val="1"/>
      </rPr>
      <t xml:space="preserve">ethos </t>
    </r>
    <r>
      <rPr>
        <sz val="10"/>
        <rFont val="Noto Sans CJK SC"/>
        <family val="2"/>
      </rPr>
      <t xml:space="preserve">아님</t>
    </r>
  </si>
  <si>
    <t xml:space="preserve">congenial</t>
  </si>
  <si>
    <t xml:space="preserve">마음 맞는</t>
  </si>
  <si>
    <r>
      <rPr>
        <sz val="10"/>
        <rFont val="Noto Sans CJK SC"/>
        <family val="2"/>
      </rPr>
      <t xml:space="preserve">마음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맞</t>
    </r>
    <r>
      <rPr>
        <sz val="10"/>
        <rFont val="Arial"/>
        <family val="0"/>
        <charset val="1"/>
      </rPr>
      <t xml:space="preserve">/VV + </t>
    </r>
    <r>
      <rPr>
        <sz val="10"/>
        <rFont val="Noto Sans CJK SC"/>
        <family val="2"/>
      </rPr>
      <t xml:space="preserve">는</t>
    </r>
    <r>
      <rPr>
        <sz val="10"/>
        <rFont val="Arial"/>
        <family val="0"/>
        <charset val="1"/>
      </rPr>
      <t xml:space="preserve">/ETM</t>
    </r>
  </si>
  <si>
    <r>
      <rPr>
        <sz val="10"/>
        <rFont val="Noto Sans CJK SC"/>
        <family val="2"/>
      </rPr>
      <t xml:space="preserve">마음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맞</t>
    </r>
    <r>
      <rPr>
        <sz val="10"/>
        <rFont val="Arial"/>
        <family val="0"/>
        <charset val="1"/>
      </rPr>
      <t xml:space="preserve">/VV</t>
    </r>
  </si>
  <si>
    <t xml:space="preserve">neighbourly</t>
  </si>
  <si>
    <t xml:space="preserve">이웃</t>
  </si>
  <si>
    <r>
      <rPr>
        <sz val="10"/>
        <rFont val="Noto Sans CJK SC"/>
        <family val="2"/>
      </rPr>
      <t xml:space="preserve">이웃</t>
    </r>
    <r>
      <rPr>
        <sz val="10"/>
        <rFont val="Arial"/>
        <family val="0"/>
        <charset val="1"/>
      </rPr>
      <t xml:space="preserve">/NNG</t>
    </r>
  </si>
  <si>
    <t xml:space="preserve">socially-responsible</t>
  </si>
  <si>
    <t xml:space="preserve">사회적 책임</t>
  </si>
  <si>
    <r>
      <rPr>
        <sz val="10"/>
        <rFont val="Noto Sans CJK SC"/>
        <family val="2"/>
      </rPr>
      <t xml:space="preserve">사회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적</t>
    </r>
    <r>
      <rPr>
        <sz val="10"/>
        <rFont val="Arial"/>
        <family val="0"/>
        <charset val="1"/>
      </rPr>
      <t xml:space="preserve">/XSN + </t>
    </r>
    <r>
      <rPr>
        <sz val="10"/>
        <rFont val="Noto Sans CJK SC"/>
        <family val="2"/>
      </rPr>
      <t xml:space="preserve">책임</t>
    </r>
    <r>
      <rPr>
        <sz val="10"/>
        <rFont val="Arial"/>
        <family val="0"/>
        <charset val="1"/>
      </rPr>
      <t xml:space="preserve">/NNG</t>
    </r>
  </si>
  <si>
    <r>
      <rPr>
        <sz val="10"/>
        <rFont val="Noto Sans CJK SC"/>
        <family val="2"/>
      </rPr>
      <t xml:space="preserve">사회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책임</t>
    </r>
    <r>
      <rPr>
        <sz val="10"/>
        <rFont val="Arial"/>
        <family val="0"/>
        <charset val="1"/>
      </rPr>
      <t xml:space="preserve">/NNG</t>
    </r>
  </si>
  <si>
    <t xml:space="preserve">hospitable</t>
  </si>
  <si>
    <t xml:space="preserve">환대</t>
  </si>
  <si>
    <r>
      <rPr>
        <sz val="10"/>
        <rFont val="Noto Sans CJK SC"/>
        <family val="2"/>
      </rPr>
      <t xml:space="preserve">환대</t>
    </r>
    <r>
      <rPr>
        <sz val="10"/>
        <rFont val="Arial"/>
        <family val="0"/>
        <charset val="1"/>
      </rPr>
      <t xml:space="preserve">/NNG</t>
    </r>
  </si>
  <si>
    <t xml:space="preserve">fraternity</t>
  </si>
  <si>
    <t xml:space="preserve">우애</t>
  </si>
  <si>
    <r>
      <rPr>
        <sz val="10"/>
        <rFont val="Noto Sans CJK SC"/>
        <family val="2"/>
      </rPr>
      <t xml:space="preserve">우애</t>
    </r>
    <r>
      <rPr>
        <sz val="10"/>
        <rFont val="Arial"/>
        <family val="0"/>
        <charset val="1"/>
      </rPr>
      <t xml:space="preserve">/NNG</t>
    </r>
  </si>
  <si>
    <t xml:space="preserve">brotherhood</t>
  </si>
  <si>
    <t xml:space="preserve">형제애</t>
  </si>
  <si>
    <r>
      <rPr>
        <sz val="10"/>
        <rFont val="Noto Sans CJK SC"/>
        <family val="2"/>
      </rPr>
      <t xml:space="preserve">형제애</t>
    </r>
    <r>
      <rPr>
        <sz val="10"/>
        <rFont val="Arial"/>
        <family val="0"/>
        <charset val="1"/>
      </rPr>
      <t xml:space="preserve">/NNG</t>
    </r>
  </si>
  <si>
    <t xml:space="preserve">sisterhood</t>
  </si>
  <si>
    <t xml:space="preserve">자매애</t>
  </si>
  <si>
    <r>
      <rPr>
        <sz val="10"/>
        <rFont val="Noto Sans CJK SC"/>
        <family val="2"/>
      </rPr>
      <t xml:space="preserve">자매애</t>
    </r>
    <r>
      <rPr>
        <sz val="10"/>
        <rFont val="Arial"/>
        <family val="0"/>
        <charset val="1"/>
      </rPr>
      <t xml:space="preserve">/NNG</t>
    </r>
  </si>
  <si>
    <t xml:space="preserve">cordial</t>
  </si>
  <si>
    <t xml:space="preserve">화기애애</t>
  </si>
  <si>
    <r>
      <rPr>
        <sz val="10"/>
        <rFont val="Noto Sans CJK SC"/>
        <family val="2"/>
      </rPr>
      <t xml:space="preserve">화기애애</t>
    </r>
    <r>
      <rPr>
        <sz val="10"/>
        <rFont val="Arial"/>
        <family val="0"/>
        <charset val="1"/>
      </rPr>
      <t xml:space="preserve">/XR</t>
    </r>
  </si>
  <si>
    <t xml:space="preserve">hearty</t>
  </si>
  <si>
    <t xml:space="preserve">humanity</t>
  </si>
  <si>
    <t xml:space="preserve">인류</t>
  </si>
  <si>
    <r>
      <rPr>
        <sz val="10"/>
        <rFont val="Noto Sans CJK SC"/>
        <family val="2"/>
      </rPr>
      <t xml:space="preserve">인류</t>
    </r>
    <r>
      <rPr>
        <sz val="10"/>
        <rFont val="Arial"/>
        <family val="0"/>
        <charset val="1"/>
      </rPr>
      <t xml:space="preserve">/NNG</t>
    </r>
  </si>
  <si>
    <t xml:space="preserve">agreeable</t>
  </si>
  <si>
    <t xml:space="preserve">호감</t>
  </si>
  <si>
    <r>
      <rPr>
        <sz val="10"/>
        <rFont val="Noto Sans CJK SC"/>
        <family val="2"/>
      </rPr>
      <t xml:space="preserve">호감</t>
    </r>
    <r>
      <rPr>
        <sz val="10"/>
        <rFont val="Arial"/>
        <family val="0"/>
        <charset val="1"/>
      </rPr>
      <t xml:space="preserve">/NNG</t>
    </r>
  </si>
  <si>
    <t xml:space="preserve">human-race</t>
  </si>
  <si>
    <t xml:space="preserve">humankind</t>
  </si>
  <si>
    <t xml:space="preserve">mankind</t>
  </si>
  <si>
    <t xml:space="preserve">welfare</t>
  </si>
  <si>
    <t xml:space="preserve">복지</t>
  </si>
  <si>
    <r>
      <rPr>
        <sz val="10"/>
        <rFont val="Noto Sans CJK SC"/>
        <family val="2"/>
      </rPr>
      <t xml:space="preserve">복지</t>
    </r>
    <r>
      <rPr>
        <sz val="10"/>
        <rFont val="Arial"/>
        <family val="0"/>
        <charset val="1"/>
      </rPr>
      <t xml:space="preserve">/NNG</t>
    </r>
  </si>
  <si>
    <t xml:space="preserve">volunteer</t>
  </si>
  <si>
    <t xml:space="preserve">자원봉사</t>
  </si>
  <si>
    <r>
      <rPr>
        <sz val="10"/>
        <rFont val="Noto Sans CJK SC"/>
        <family val="2"/>
      </rPr>
      <t xml:space="preserve">자원봉사</t>
    </r>
    <r>
      <rPr>
        <sz val="10"/>
        <rFont val="Arial"/>
        <family val="0"/>
        <charset val="1"/>
      </rPr>
      <t xml:space="preserve">/NNG</t>
    </r>
  </si>
  <si>
    <t xml:space="preserve">general-public</t>
  </si>
  <si>
    <t xml:space="preserve">일반 대중</t>
  </si>
  <si>
    <r>
      <rPr>
        <sz val="10"/>
        <rFont val="Noto Sans CJK SC"/>
        <family val="2"/>
      </rPr>
      <t xml:space="preserve">일반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대중</t>
    </r>
    <r>
      <rPr>
        <sz val="10"/>
        <rFont val="Arial"/>
        <family val="0"/>
        <charset val="1"/>
      </rPr>
      <t xml:space="preserve">/NNG</t>
    </r>
  </si>
  <si>
    <t xml:space="preserve">outreach</t>
  </si>
  <si>
    <t xml:space="preserve">확산</t>
  </si>
  <si>
    <r>
      <rPr>
        <sz val="10"/>
        <rFont val="Noto Sans CJK SC"/>
        <family val="2"/>
      </rPr>
      <t xml:space="preserve">확산</t>
    </r>
    <r>
      <rPr>
        <sz val="10"/>
        <rFont val="Arial"/>
        <family val="0"/>
        <charset val="1"/>
      </rPr>
      <t xml:space="preserve">/NNG</t>
    </r>
  </si>
  <si>
    <t xml:space="preserve">camaraderie</t>
  </si>
  <si>
    <t xml:space="preserve">동료애</t>
  </si>
  <si>
    <r>
      <rPr>
        <sz val="10"/>
        <rFont val="Noto Sans CJK SC"/>
        <family val="2"/>
      </rPr>
      <t xml:space="preserve">동료애</t>
    </r>
    <r>
      <rPr>
        <sz val="10"/>
        <rFont val="Arial"/>
        <family val="0"/>
        <charset val="1"/>
      </rPr>
      <t xml:space="preserve">/NNG</t>
    </r>
  </si>
  <si>
    <t xml:space="preserve">mediator</t>
  </si>
  <si>
    <t xml:space="preserve">중재자</t>
  </si>
  <si>
    <r>
      <rPr>
        <sz val="10"/>
        <rFont val="Noto Sans CJK SC"/>
        <family val="2"/>
      </rPr>
      <t xml:space="preserve">중재자</t>
    </r>
    <r>
      <rPr>
        <sz val="10"/>
        <rFont val="Arial"/>
        <family val="0"/>
        <charset val="1"/>
      </rPr>
      <t xml:space="preserve">/NNG</t>
    </r>
  </si>
  <si>
    <t xml:space="preserve">fellowship</t>
  </si>
  <si>
    <t xml:space="preserve">유대</t>
  </si>
  <si>
    <r>
      <rPr>
        <sz val="10"/>
        <rFont val="Noto Sans CJK SC"/>
        <family val="2"/>
      </rPr>
      <t xml:space="preserve">유대</t>
    </r>
    <r>
      <rPr>
        <sz val="10"/>
        <rFont val="Arial"/>
        <family val="0"/>
        <charset val="1"/>
      </rPr>
      <t xml:space="preserve">/NNG</t>
    </r>
  </si>
  <si>
    <t xml:space="preserve">family</t>
  </si>
  <si>
    <t xml:space="preserve">가족</t>
  </si>
  <si>
    <r>
      <rPr>
        <sz val="10"/>
        <rFont val="Noto Sans CJK SC"/>
        <family val="2"/>
      </rPr>
      <t xml:space="preserve">가족</t>
    </r>
    <r>
      <rPr>
        <sz val="10"/>
        <rFont val="Arial"/>
        <family val="0"/>
        <charset val="1"/>
      </rPr>
      <t xml:space="preserve">/NNG</t>
    </r>
  </si>
  <si>
    <t xml:space="preserve">citizen</t>
  </si>
  <si>
    <t xml:space="preserve">collaboration</t>
  </si>
  <si>
    <t xml:space="preserve">협업</t>
  </si>
  <si>
    <r>
      <rPr>
        <sz val="10"/>
        <rFont val="Noto Sans CJK SC"/>
        <family val="2"/>
      </rPr>
      <t xml:space="preserve">협업</t>
    </r>
    <r>
      <rPr>
        <sz val="10"/>
        <rFont val="Arial"/>
        <family val="0"/>
        <charset val="1"/>
      </rPr>
      <t xml:space="preserve">/NNG</t>
    </r>
  </si>
  <si>
    <t xml:space="preserve">accessibility</t>
  </si>
  <si>
    <t xml:space="preserve">접근성</t>
  </si>
  <si>
    <r>
      <rPr>
        <sz val="10"/>
        <rFont val="Noto Sans CJK SC"/>
        <family val="2"/>
      </rPr>
      <t xml:space="preserve">접근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성</t>
    </r>
    <r>
      <rPr>
        <sz val="10"/>
        <rFont val="Arial"/>
        <family val="0"/>
        <charset val="1"/>
      </rPr>
      <t xml:space="preserve">/XSN</t>
    </r>
  </si>
  <si>
    <t xml:space="preserve">openness</t>
  </si>
  <si>
    <t xml:space="preserve">개방성</t>
  </si>
  <si>
    <r>
      <rPr>
        <sz val="10"/>
        <rFont val="Noto Sans CJK SC"/>
        <family val="2"/>
      </rPr>
      <t xml:space="preserve">개방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성</t>
    </r>
    <r>
      <rPr>
        <sz val="10"/>
        <rFont val="Arial"/>
        <family val="0"/>
        <charset val="1"/>
      </rPr>
      <t xml:space="preserve">/XSN</t>
    </r>
  </si>
  <si>
    <r>
      <rPr>
        <sz val="10"/>
        <rFont val="Noto Sans CJK SC"/>
        <family val="2"/>
      </rPr>
      <t xml:space="preserve">개방</t>
    </r>
    <r>
      <rPr>
        <sz val="10"/>
        <rFont val="Arial"/>
        <family val="0"/>
        <charset val="1"/>
      </rPr>
      <t xml:space="preserve">/NNG</t>
    </r>
  </si>
  <si>
    <t xml:space="preserve">easy-going</t>
  </si>
  <si>
    <t xml:space="preserve">소탈</t>
  </si>
  <si>
    <r>
      <rPr>
        <sz val="10"/>
        <rFont val="Noto Sans CJK SC"/>
        <family val="2"/>
      </rPr>
      <t xml:space="preserve">소탈</t>
    </r>
    <r>
      <rPr>
        <sz val="10"/>
        <rFont val="Arial"/>
        <family val="0"/>
        <charset val="1"/>
      </rPr>
      <t xml:space="preserve">/NNG</t>
    </r>
  </si>
  <si>
    <t xml:space="preserve">support</t>
  </si>
  <si>
    <t xml:space="preserve">receptive</t>
  </si>
  <si>
    <t xml:space="preserve">수용적</t>
  </si>
  <si>
    <r>
      <rPr>
        <sz val="10"/>
        <rFont val="Noto Sans CJK SC"/>
        <family val="2"/>
      </rPr>
      <t xml:space="preserve">수용</t>
    </r>
    <r>
      <rPr>
        <sz val="10"/>
        <rFont val="Arial"/>
        <family val="0"/>
        <charset val="1"/>
      </rPr>
      <t xml:space="preserve">/NNG + </t>
    </r>
    <r>
      <rPr>
        <sz val="10"/>
        <rFont val="Noto Sans CJK SC"/>
        <family val="2"/>
      </rPr>
      <t xml:space="preserve">적</t>
    </r>
    <r>
      <rPr>
        <sz val="10"/>
        <rFont val="Arial"/>
        <family val="0"/>
        <charset val="1"/>
      </rPr>
      <t xml:space="preserve">/XSN</t>
    </r>
  </si>
  <si>
    <t xml:space="preserve">mutual</t>
  </si>
  <si>
    <t xml:space="preserve">상호</t>
  </si>
  <si>
    <r>
      <rPr>
        <sz val="10"/>
        <rFont val="Noto Sans CJK SC"/>
        <family val="2"/>
      </rPr>
      <t xml:space="preserve">상호</t>
    </r>
    <r>
      <rPr>
        <sz val="10"/>
        <rFont val="Arial"/>
        <family val="0"/>
        <charset val="1"/>
      </rPr>
      <t xml:space="preserve">/NNP</t>
    </r>
  </si>
  <si>
    <t xml:space="preserve">sharing</t>
  </si>
  <si>
    <t xml:space="preserve">공유</t>
  </si>
  <si>
    <r>
      <rPr>
        <sz val="10"/>
        <rFont val="Noto Sans CJK SC"/>
        <family val="2"/>
      </rPr>
      <t xml:space="preserve">공유</t>
    </r>
    <r>
      <rPr>
        <sz val="10"/>
        <rFont val="Arial"/>
        <family val="0"/>
        <charset val="1"/>
      </rPr>
      <t xml:space="preserve">/NNG</t>
    </r>
  </si>
  <si>
    <t xml:space="preserve">unite</t>
  </si>
  <si>
    <t xml:space="preserve">단결</t>
  </si>
  <si>
    <r>
      <rPr>
        <sz val="10"/>
        <rFont val="Noto Sans CJK SC"/>
        <family val="2"/>
      </rPr>
      <t xml:space="preserve">단결</t>
    </r>
    <r>
      <rPr>
        <sz val="10"/>
        <rFont val="Arial"/>
        <family val="0"/>
        <charset val="1"/>
      </rPr>
      <t xml:space="preserve">/NNG</t>
    </r>
  </si>
  <si>
    <t xml:space="preserve">team</t>
  </si>
  <si>
    <t xml:space="preserve">팀</t>
  </si>
  <si>
    <r>
      <rPr>
        <sz val="10"/>
        <rFont val="Noto Sans CJK SC"/>
        <family val="2"/>
      </rPr>
      <t xml:space="preserve">팀</t>
    </r>
    <r>
      <rPr>
        <sz val="10"/>
        <rFont val="Arial"/>
        <family val="0"/>
        <charset val="1"/>
      </rPr>
      <t xml:space="preserve">/NNG</t>
    </r>
  </si>
  <si>
    <r>
      <rPr>
        <sz val="10"/>
        <rFont val="Arial"/>
        <family val="0"/>
        <charset val="1"/>
      </rPr>
      <t xml:space="preserve">team. </t>
    </r>
    <r>
      <rPr>
        <sz val="10"/>
        <rFont val="Noto Sans CJK SC"/>
        <family val="2"/>
      </rPr>
      <t xml:space="preserve">팀 구성 항목 제목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지시어로 구조적 반복 → 사전 제외 권장</t>
    </r>
  </si>
  <si>
    <t xml:space="preserve">friend</t>
  </si>
  <si>
    <t xml:space="preserve">친구</t>
  </si>
  <si>
    <r>
      <rPr>
        <sz val="10"/>
        <rFont val="Noto Sans CJK SC"/>
        <family val="2"/>
      </rPr>
      <t xml:space="preserve">친구</t>
    </r>
    <r>
      <rPr>
        <sz val="10"/>
        <rFont val="Arial"/>
        <family val="0"/>
        <charset val="1"/>
      </rPr>
      <t xml:space="preserve">/NNG</t>
    </r>
  </si>
  <si>
    <t xml:space="preserve">한국어 표기</t>
  </si>
  <si>
    <t xml:space="preserve">원어 수</t>
  </si>
  <si>
    <t xml:space="preserve">transaction, deal</t>
  </si>
  <si>
    <t xml:space="preserve">lucrative, well-paying</t>
  </si>
  <si>
    <r>
      <rPr>
        <sz val="10"/>
        <rFont val="Noto Sans CJK SC"/>
        <family val="2"/>
      </rPr>
      <t xml:space="preserve">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句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매칭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차원내 중복</t>
    </r>
  </si>
  <si>
    <r>
      <rPr>
        <sz val="10"/>
        <rFont val="Noto Sans CJK SC"/>
        <family val="2"/>
      </rPr>
      <t xml:space="preserve">기술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기술적</t>
    </r>
  </si>
  <si>
    <t xml:space="preserve">technology, technical</t>
  </si>
  <si>
    <t xml:space="preserve">sale, revenue</t>
  </si>
  <si>
    <t xml:space="preserve">reward, recompense</t>
  </si>
  <si>
    <t xml:space="preserve">analytic, analyse</t>
  </si>
  <si>
    <t xml:space="preserve">cost, expense</t>
  </si>
  <si>
    <r>
      <rPr>
        <sz val="10"/>
        <rFont val="Noto Sans CJK SC"/>
        <family val="2"/>
      </rPr>
      <t xml:space="preserve">생산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생산적</t>
    </r>
  </si>
  <si>
    <t xml:space="preserve">productive, produce</t>
  </si>
  <si>
    <r>
      <rPr>
        <sz val="10"/>
        <rFont val="Noto Sans CJK SC"/>
        <family val="2"/>
      </rPr>
      <t xml:space="preserve">수익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수익률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수익성</t>
    </r>
  </si>
  <si>
    <t xml:space="preserve">yield, profitability, earn, remunerative</t>
  </si>
  <si>
    <t xml:space="preserve">modify, fix</t>
  </si>
  <si>
    <t xml:space="preserve">order, sequence</t>
  </si>
  <si>
    <r>
      <rPr>
        <sz val="10"/>
        <rFont val="Noto Sans CJK SC"/>
        <family val="2"/>
      </rPr>
      <t xml:space="preserve">실용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실용적</t>
    </r>
  </si>
  <si>
    <t xml:space="preserve">practical, pragmatic</t>
  </si>
  <si>
    <t xml:space="preserve">practical, real</t>
  </si>
  <si>
    <r>
      <rPr>
        <sz val="10"/>
        <rFont val="Noto Sans CJK SC"/>
        <family val="2"/>
      </rPr>
      <t xml:space="preserve">이익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이익률</t>
    </r>
  </si>
  <si>
    <t xml:space="preserve">margin, gain</t>
  </si>
  <si>
    <t xml:space="preserve">benefit, advantage</t>
  </si>
  <si>
    <t xml:space="preserve">fund, money</t>
  </si>
  <si>
    <t xml:space="preserve">exact, accurate</t>
  </si>
  <si>
    <r>
      <rPr>
        <sz val="10"/>
        <rFont val="Noto Sans CJK SC"/>
        <family val="2"/>
      </rPr>
      <t xml:space="preserve">체계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체계적</t>
    </r>
  </si>
  <si>
    <t xml:space="preserve">system, systematic</t>
  </si>
  <si>
    <t xml:space="preserve">sale, sell</t>
  </si>
  <si>
    <t xml:space="preserve">effective, effect</t>
  </si>
  <si>
    <t xml:space="preserve">odious, detestable</t>
  </si>
  <si>
    <r>
      <rPr>
        <sz val="10"/>
        <rFont val="Noto Sans CJK SC"/>
        <family val="2"/>
      </rPr>
      <t xml:space="preserve">감동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감동적</t>
    </r>
  </si>
  <si>
    <t xml:space="preserve">stirring, soul-stirring</t>
  </si>
  <si>
    <t xml:space="preserve">off-putting, aversion</t>
  </si>
  <si>
    <t xml:space="preserve">fright, scare</t>
  </si>
  <si>
    <t xml:space="preserve">wroth, fury</t>
  </si>
  <si>
    <t xml:space="preserve">vehement, violent</t>
  </si>
  <si>
    <t xml:space="preserve">enrage, infuriate, livid</t>
  </si>
  <si>
    <t xml:space="preserve">appal, astound</t>
  </si>
  <si>
    <t xml:space="preserve">amaze, wonder, marvel</t>
  </si>
  <si>
    <t xml:space="preserve">rouse, elated</t>
  </si>
  <si>
    <r>
      <rPr>
        <sz val="10"/>
        <rFont val="Noto Sans CJK SC"/>
        <family val="2"/>
      </rPr>
      <t xml:space="preserve">고통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고통스럽다</t>
    </r>
  </si>
  <si>
    <t xml:space="preserve">suffer, painful, anguish</t>
  </si>
  <si>
    <t xml:space="preserve">dread, terror, horror</t>
  </si>
  <si>
    <t xml:space="preserve">glad, pleased</t>
  </si>
  <si>
    <t xml:space="preserve">delight, joy</t>
  </si>
  <si>
    <t xml:space="preserve">ambush, sneak-attack</t>
  </si>
  <si>
    <t xml:space="preserve">tense, uptight</t>
  </si>
  <si>
    <t xml:space="preserve">reluctant, loath</t>
  </si>
  <si>
    <t xml:space="preserve">hideous, terrible, horrible</t>
  </si>
  <si>
    <t xml:space="preserve">despondent, deject</t>
  </si>
  <si>
    <t xml:space="preserve">provocative, provoke</t>
  </si>
  <si>
    <t xml:space="preserve">affront, insult</t>
  </si>
  <si>
    <t xml:space="preserve">resent, indignant</t>
  </si>
  <si>
    <t xml:space="preserve">anger, ire, rage</t>
  </si>
  <si>
    <t xml:space="preserve">mistrust, distrust</t>
  </si>
  <si>
    <t xml:space="preserve">trepidation, uneasy, angst, anxious, anxiety</t>
  </si>
  <si>
    <t xml:space="preserve">objectionable, offend, obnoxious, displeasure, unpleasant, displease</t>
  </si>
  <si>
    <r>
      <rPr>
        <sz val="10"/>
        <rFont val="Noto Sans CJK SC"/>
        <family val="2"/>
      </rPr>
      <t xml:space="preserve">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句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매칭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분석 확인 필요</t>
    </r>
  </si>
  <si>
    <t xml:space="preserve">despicable, vile</t>
  </si>
  <si>
    <t xml:space="preserve">pathetic, misery</t>
  </si>
  <si>
    <t xml:space="preserve">broken-heart, heartbroken</t>
  </si>
  <si>
    <t xml:space="preserve">sadness, sorrow</t>
  </si>
  <si>
    <t xml:space="preserve">bummed, disappoint</t>
  </si>
  <si>
    <t xml:space="preserve">aggravate, exacerbate</t>
  </si>
  <si>
    <t xml:space="preserve">dismal, gloom, grim</t>
  </si>
  <si>
    <t xml:space="preserve">grief, mourn</t>
  </si>
  <si>
    <t xml:space="preserve">downtrodden, oppress</t>
  </si>
  <si>
    <t xml:space="preserve">revolt, sicken, repugnant</t>
  </si>
  <si>
    <t xml:space="preserve">fiery, fervent, fervid</t>
  </si>
  <si>
    <t xml:space="preserve">enthusiastic, avid</t>
  </si>
  <si>
    <t xml:space="preserve">zest, zeal</t>
  </si>
  <si>
    <t xml:space="preserve">passion, impassion</t>
  </si>
  <si>
    <t xml:space="preserve">craze, rage</t>
  </si>
  <si>
    <t xml:space="preserve">melancholy, uncheerful</t>
  </si>
  <si>
    <t xml:space="preserve">intimidate, threaten</t>
  </si>
  <si>
    <t xml:space="preserve">provoke, arouse</t>
  </si>
  <si>
    <t xml:space="preserve">relish, enjoy</t>
  </si>
  <si>
    <t xml:space="preserve">hatred, hate</t>
  </si>
  <si>
    <t xml:space="preserve">heartfelt, heartily</t>
  </si>
  <si>
    <t xml:space="preserve">irritate, petulant, annoy</t>
  </si>
  <si>
    <r>
      <rPr>
        <sz val="10"/>
        <rFont val="Noto Sans CJK SC"/>
        <family val="2"/>
      </rPr>
      <t xml:space="preserve">충격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충격적</t>
    </r>
  </si>
  <si>
    <t xml:space="preserve">stun, jolting, shock</t>
  </si>
  <si>
    <r>
      <rPr>
        <sz val="10"/>
        <rFont val="Noto Sans CJK SC"/>
        <family val="2"/>
      </rPr>
      <t xml:space="preserve">혐오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혐오스럽다</t>
    </r>
  </si>
  <si>
    <t xml:space="preserve">disgust, repulse, abhorrent, abomination</t>
  </si>
  <si>
    <t xml:space="preserve">ecstasy, glee</t>
  </si>
  <si>
    <t xml:space="preserve">vigour, vitalize</t>
  </si>
  <si>
    <t xml:space="preserve">sympathy, empathy</t>
  </si>
  <si>
    <t xml:space="preserve">equitable, even-handed</t>
  </si>
  <si>
    <t xml:space="preserve">generous, lenient</t>
  </si>
  <si>
    <t xml:space="preserve">distinguish, apart</t>
  </si>
  <si>
    <t xml:space="preserve">guru, luminary</t>
  </si>
  <si>
    <t xml:space="preserve">reputation, repute</t>
  </si>
  <si>
    <t xml:space="preserve">motherly, maternal</t>
  </si>
  <si>
    <t xml:space="preserve">care, considerate</t>
  </si>
  <si>
    <t xml:space="preserve">fatherly, paternal</t>
  </si>
  <si>
    <t xml:space="preserve">social, society</t>
  </si>
  <si>
    <t xml:space="preserve">goodwill, well-meaning</t>
  </si>
  <si>
    <r>
      <rPr>
        <sz val="10"/>
        <rFont val="Noto Sans CJK SC"/>
        <family val="2"/>
      </rPr>
      <t xml:space="preserve">수용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수용적</t>
    </r>
  </si>
  <si>
    <t xml:space="preserve">accommodate, receptive</t>
  </si>
  <si>
    <t xml:space="preserve">civic, citizen</t>
  </si>
  <si>
    <t xml:space="preserve">rely, credible, trust</t>
  </si>
  <si>
    <t xml:space="preserve">prudence, discreet</t>
  </si>
  <si>
    <t xml:space="preserve">acumen, good-eye</t>
  </si>
  <si>
    <r>
      <rPr>
        <sz val="10"/>
        <rFont val="Noto Sans CJK SC"/>
        <family val="2"/>
      </rPr>
      <t xml:space="preserve">양심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양심적</t>
    </r>
  </si>
  <si>
    <t xml:space="preserve">conscience, scrupulous</t>
  </si>
  <si>
    <t xml:space="preserve">shrewd, clever</t>
  </si>
  <si>
    <t xml:space="preserve">manners, polite</t>
  </si>
  <si>
    <t xml:space="preserve">gentle, benign</t>
  </si>
  <si>
    <t xml:space="preserve">upstanding, upright</t>
  </si>
  <si>
    <t xml:space="preserve">excellence, superior</t>
  </si>
  <si>
    <t xml:space="preserve">altruistic, unselfish</t>
  </si>
  <si>
    <t xml:space="preserve">comprehension, understand</t>
  </si>
  <si>
    <t xml:space="preserve">humanity, human-race, humankind, mankind</t>
  </si>
  <si>
    <t xml:space="preserve">perceive, recognize</t>
  </si>
  <si>
    <t xml:space="preserve">cognition, aware</t>
  </si>
  <si>
    <t xml:space="preserve">first-class, first-rate</t>
  </si>
  <si>
    <t xml:space="preserve">mercy, benevolent</t>
  </si>
  <si>
    <t xml:space="preserve">tactful, wit</t>
  </si>
  <si>
    <r>
      <rPr>
        <sz val="10"/>
        <rFont val="Noto Sans CJK SC"/>
        <family val="2"/>
      </rPr>
      <t xml:space="preserve">정의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정의롭다</t>
    </r>
  </si>
  <si>
    <t xml:space="preserve">righteous, justice</t>
  </si>
  <si>
    <t xml:space="preserve">straightforward, honest</t>
  </si>
  <si>
    <t xml:space="preserve">esteem, admirable, respectable</t>
  </si>
  <si>
    <t xml:space="preserve">intelligence, intellect</t>
  </si>
  <si>
    <t xml:space="preserve">aid, support</t>
  </si>
  <si>
    <r>
      <rPr>
        <sz val="10"/>
        <rFont val="Noto Sans CJK SC"/>
        <family val="2"/>
      </rPr>
      <t xml:space="preserve">진정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진정성</t>
    </r>
  </si>
  <si>
    <t xml:space="preserve">sincere, authentic, genuine</t>
  </si>
  <si>
    <t xml:space="preserve">un-corrupt, incorrupt, integrity</t>
  </si>
  <si>
    <t xml:space="preserve">the-best, supreme</t>
  </si>
  <si>
    <t xml:space="preserve">commendable, praiseworthy</t>
  </si>
  <si>
    <t xml:space="preserve">brilliance, excellence, pre-eminence, exceptional, excel</t>
  </si>
  <si>
    <t xml:space="preserve">seemliness, decency, decent</t>
  </si>
  <si>
    <t xml:space="preserve">open-handed, munificent</t>
  </si>
  <si>
    <t xml:space="preserve">creditable, sterling, splendid</t>
  </si>
  <si>
    <r>
      <rPr>
        <b val="true"/>
        <sz val="11"/>
        <color rgb="FFFFFFFF"/>
        <rFont val="Arial"/>
        <family val="0"/>
        <charset val="1"/>
      </rPr>
      <t xml:space="preserve">Table II </t>
    </r>
    <r>
      <rPr>
        <b val="true"/>
        <sz val="11"/>
        <color rgb="FFFFFFFF"/>
        <rFont val="Noto Sans CJK SC"/>
        <family val="2"/>
      </rPr>
      <t xml:space="preserve">원어 수</t>
    </r>
  </si>
  <si>
    <t xml:space="preserve">한국어 후보 행 수</t>
  </si>
  <si>
    <t xml:space="preserve">고유 매칭 키 수</t>
  </si>
  <si>
    <r>
      <rPr>
        <b val="true"/>
        <sz val="11"/>
        <color rgb="FFFFFFFF"/>
        <rFont val="Noto Sans CJK SC"/>
        <family val="2"/>
      </rPr>
      <t xml:space="preserve">플래그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메모 있는 행</t>
    </r>
  </si>
  <si>
    <t xml:space="preserve">평정 완료 행</t>
  </si>
  <si>
    <r>
      <rPr>
        <b val="true"/>
        <sz val="11"/>
        <color rgb="FFFFFFFF"/>
        <rFont val="Noto Sans CJK SC"/>
        <family val="2"/>
      </rPr>
      <t xml:space="preserve">채택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만장일치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</si>
  <si>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합계</t>
  </si>
  <si>
    <r>
      <rPr>
        <i val="true"/>
        <sz val="9"/>
        <rFont val="Arial"/>
        <family val="0"/>
        <charset val="1"/>
      </rPr>
      <t xml:space="preserve">Table II </t>
    </r>
    <r>
      <rPr>
        <i val="true"/>
        <sz val="9"/>
        <rFont val="Noto Sans CJK SC"/>
        <family val="2"/>
      </rPr>
      <t xml:space="preserve">원어 수는 원문에서 전사한 값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Noto Sans CJK SC"/>
        <family val="2"/>
      </rPr>
      <t xml:space="preserve">하드코딩</t>
    </r>
    <r>
      <rPr>
        <i val="true"/>
        <sz val="9"/>
        <rFont val="Arial"/>
        <family val="0"/>
        <charset val="1"/>
      </rPr>
      <t xml:space="preserve">; </t>
    </r>
    <r>
      <rPr>
        <i val="true"/>
        <sz val="9"/>
        <rFont val="Noto Sans CJK SC"/>
        <family val="2"/>
      </rPr>
      <t xml:space="preserve">원문 보고치 </t>
    </r>
    <r>
      <rPr>
        <i val="true"/>
        <sz val="9"/>
        <rFont val="Arial"/>
        <family val="0"/>
        <charset val="1"/>
      </rPr>
      <t xml:space="preserve">891).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</si>
</sst>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2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29.85" hidden="false" customHeight="false" outlineLevel="0" collapsed="false">
      <c r="A3" s="3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4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4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  <row r="15" customFormat="false" ht="29.85" hidden="false" customHeight="false" outlineLevel="0" collapsed="false">
      <c r="A15" s="3" t="s">
        <v>11</v>
      </c>
    </row>
    <row r="16" customFormat="false" ht="29.8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4" t="s">
        <v>15</v>
      </c>
    </row>
    <row r="21" customFormat="false" ht="15" hidden="false" customHeight="false" outlineLevel="0" collapsed="false">
      <c r="A21" s="3" t="s">
        <v>16</v>
      </c>
    </row>
    <row r="22" customFormat="false" ht="29.8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30"/>
    <col collapsed="false" customWidth="true" hidden="false" outlineLevel="0" max="7" min="7" style="0" width="22"/>
    <col collapsed="false" customWidth="true" hidden="false" outlineLevel="0" max="8" min="8" style="0" width="26"/>
    <col collapsed="false" customWidth="true" hidden="false" outlineLevel="0" max="9" min="9" style="0" width="48"/>
    <col collapsed="false" customWidth="true" hidden="false" outlineLevel="0" max="12" min="10" style="0" width="10"/>
    <col collapsed="false" customWidth="true" hidden="false" outlineLevel="0" max="13" min="13" style="0" width="11"/>
    <col collapsed="false" customWidth="true" hidden="false" outlineLevel="0" max="14" min="14" style="0" width="24"/>
  </cols>
  <sheetData>
    <row r="1" customFormat="false" ht="29.85" hidden="false" customHeight="false" outlineLevel="0" collapsed="false">
      <c r="A1" s="5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29</v>
      </c>
      <c r="L1" s="6" t="s">
        <v>30</v>
      </c>
      <c r="M1" s="6" t="s">
        <v>31</v>
      </c>
      <c r="N1" s="6" t="s">
        <v>32</v>
      </c>
    </row>
    <row r="2" customFormat="false" ht="15" hidden="false" customHeight="false" outlineLevel="0" collapsed="false">
      <c r="A2" s="7" t="n">
        <v>1</v>
      </c>
      <c r="B2" s="7" t="s">
        <v>33</v>
      </c>
      <c r="C2" s="7" t="s">
        <v>34</v>
      </c>
      <c r="D2" s="7" t="s">
        <v>34</v>
      </c>
      <c r="E2" s="8" t="s">
        <v>35</v>
      </c>
      <c r="F2" s="9" t="s">
        <v>36</v>
      </c>
      <c r="G2" s="8" t="s">
        <v>36</v>
      </c>
      <c r="H2" s="9"/>
      <c r="I2" s="9"/>
      <c r="J2" s="10"/>
      <c r="K2" s="10"/>
      <c r="L2" s="10"/>
      <c r="M2" s="11" t="str">
        <f aca="false">IF(COUNTA(J2:L2)&lt;3,"",IF(COUNTIF(J2:L2,"유지")=3,"채택","제외"))</f>
        <v/>
      </c>
      <c r="N2" s="12"/>
    </row>
    <row r="3" customFormat="false" ht="15" hidden="false" customHeight="false" outlineLevel="0" collapsed="false">
      <c r="A3" s="7" t="n">
        <v>2</v>
      </c>
      <c r="B3" s="7" t="s">
        <v>33</v>
      </c>
      <c r="C3" s="7" t="s">
        <v>34</v>
      </c>
      <c r="D3" s="7" t="s">
        <v>37</v>
      </c>
      <c r="E3" s="8" t="s">
        <v>38</v>
      </c>
      <c r="F3" s="9" t="s">
        <v>39</v>
      </c>
      <c r="G3" s="8" t="s">
        <v>39</v>
      </c>
      <c r="H3" s="9"/>
      <c r="I3" s="9"/>
      <c r="J3" s="10"/>
      <c r="K3" s="10"/>
      <c r="L3" s="10"/>
      <c r="M3" s="11" t="str">
        <f aca="false">IF(COUNTA(J3:L3)&lt;3,"",IF(COUNTIF(J3:L3,"유지")=3,"채택","제외"))</f>
        <v/>
      </c>
      <c r="N3" s="12"/>
    </row>
    <row r="4" customFormat="false" ht="15" hidden="false" customHeight="false" outlineLevel="0" collapsed="false">
      <c r="A4" s="7" t="n">
        <v>3</v>
      </c>
      <c r="B4" s="7" t="s">
        <v>33</v>
      </c>
      <c r="C4" s="7" t="s">
        <v>34</v>
      </c>
      <c r="D4" s="7" t="s">
        <v>37</v>
      </c>
      <c r="E4" s="8" t="s">
        <v>40</v>
      </c>
      <c r="F4" s="9" t="s">
        <v>41</v>
      </c>
      <c r="G4" s="8" t="s">
        <v>41</v>
      </c>
      <c r="H4" s="9"/>
      <c r="I4" s="9"/>
      <c r="J4" s="10"/>
      <c r="K4" s="10"/>
      <c r="L4" s="10"/>
      <c r="M4" s="11" t="str">
        <f aca="false">IF(COUNTA(J4:L4)&lt;3,"",IF(COUNTIF(J4:L4,"유지")=3,"채택","제외"))</f>
        <v/>
      </c>
      <c r="N4" s="12"/>
    </row>
    <row r="5" customFormat="false" ht="26.85" hidden="false" customHeight="false" outlineLevel="0" collapsed="false">
      <c r="A5" s="7" t="n">
        <v>4</v>
      </c>
      <c r="B5" s="7" t="s">
        <v>33</v>
      </c>
      <c r="C5" s="7" t="s">
        <v>34</v>
      </c>
      <c r="D5" s="7" t="s">
        <v>42</v>
      </c>
      <c r="E5" s="8" t="s">
        <v>43</v>
      </c>
      <c r="F5" s="9" t="s">
        <v>44</v>
      </c>
      <c r="G5" s="8" t="s">
        <v>44</v>
      </c>
      <c r="H5" s="13" t="s">
        <v>45</v>
      </c>
      <c r="I5" s="14" t="s">
        <v>46</v>
      </c>
      <c r="J5" s="10"/>
      <c r="K5" s="10"/>
      <c r="L5" s="10"/>
      <c r="M5" s="11" t="str">
        <f aca="false">IF(COUNTA(J5:L5)&lt;3,"",IF(COUNTIF(J5:L5,"유지")=3,"채택","제외"))</f>
        <v/>
      </c>
      <c r="N5" s="12"/>
    </row>
    <row r="6" customFormat="false" ht="15" hidden="false" customHeight="false" outlineLevel="0" collapsed="false">
      <c r="A6" s="7" t="n">
        <v>5</v>
      </c>
      <c r="B6" s="7" t="s">
        <v>33</v>
      </c>
      <c r="C6" s="7" t="s">
        <v>34</v>
      </c>
      <c r="D6" s="7" t="s">
        <v>47</v>
      </c>
      <c r="E6" s="8" t="s">
        <v>48</v>
      </c>
      <c r="F6" s="9" t="s">
        <v>49</v>
      </c>
      <c r="G6" s="8" t="s">
        <v>49</v>
      </c>
      <c r="H6" s="9"/>
      <c r="I6" s="9"/>
      <c r="J6" s="10"/>
      <c r="K6" s="10"/>
      <c r="L6" s="10"/>
      <c r="M6" s="11" t="str">
        <f aca="false">IF(COUNTA(J6:L6)&lt;3,"",IF(COUNTIF(J6:L6,"유지")=3,"채택","제외"))</f>
        <v/>
      </c>
      <c r="N6" s="12"/>
    </row>
    <row r="7" customFormat="false" ht="15" hidden="false" customHeight="false" outlineLevel="0" collapsed="false">
      <c r="A7" s="7" t="n">
        <v>6</v>
      </c>
      <c r="B7" s="7" t="s">
        <v>33</v>
      </c>
      <c r="C7" s="7" t="s">
        <v>34</v>
      </c>
      <c r="D7" s="7" t="s">
        <v>50</v>
      </c>
      <c r="E7" s="8" t="s">
        <v>51</v>
      </c>
      <c r="F7" s="9" t="s">
        <v>52</v>
      </c>
      <c r="G7" s="8" t="s">
        <v>52</v>
      </c>
      <c r="H7" s="9"/>
      <c r="I7" s="9"/>
      <c r="J7" s="10"/>
      <c r="K7" s="10"/>
      <c r="L7" s="10"/>
      <c r="M7" s="11" t="str">
        <f aca="false">IF(COUNTA(J7:L7)&lt;3,"",IF(COUNTIF(J7:L7,"유지")=3,"채택","제외"))</f>
        <v/>
      </c>
      <c r="N7" s="12"/>
    </row>
    <row r="8" customFormat="false" ht="15" hidden="false" customHeight="false" outlineLevel="0" collapsed="false">
      <c r="A8" s="7" t="n">
        <v>7</v>
      </c>
      <c r="B8" s="7" t="s">
        <v>33</v>
      </c>
      <c r="C8" s="7" t="s">
        <v>34</v>
      </c>
      <c r="D8" s="7" t="s">
        <v>53</v>
      </c>
      <c r="E8" s="8" t="s">
        <v>54</v>
      </c>
      <c r="F8" s="9" t="s">
        <v>55</v>
      </c>
      <c r="G8" s="8" t="s">
        <v>55</v>
      </c>
      <c r="H8" s="13" t="s">
        <v>56</v>
      </c>
      <c r="I8" s="14"/>
      <c r="J8" s="10"/>
      <c r="K8" s="10"/>
      <c r="L8" s="10"/>
      <c r="M8" s="11" t="str">
        <f aca="false">IF(COUNTA(J8:L8)&lt;3,"",IF(COUNTIF(J8:L8,"유지")=3,"채택","제외"))</f>
        <v/>
      </c>
      <c r="N8" s="12"/>
    </row>
    <row r="9" customFormat="false" ht="15" hidden="false" customHeight="false" outlineLevel="0" collapsed="false">
      <c r="A9" s="7" t="n">
        <v>8</v>
      </c>
      <c r="B9" s="7" t="s">
        <v>33</v>
      </c>
      <c r="C9" s="7" t="s">
        <v>34</v>
      </c>
      <c r="D9" s="7" t="s">
        <v>57</v>
      </c>
      <c r="E9" s="8" t="s">
        <v>58</v>
      </c>
      <c r="F9" s="9" t="s">
        <v>59</v>
      </c>
      <c r="G9" s="8" t="s">
        <v>59</v>
      </c>
      <c r="H9" s="9"/>
      <c r="I9" s="9"/>
      <c r="J9" s="10"/>
      <c r="K9" s="10"/>
      <c r="L9" s="10"/>
      <c r="M9" s="11" t="str">
        <f aca="false">IF(COUNTA(J9:L9)&lt;3,"",IF(COUNTIF(J9:L9,"유지")=3,"채택","제외"))</f>
        <v/>
      </c>
      <c r="N9" s="12"/>
    </row>
    <row r="10" customFormat="false" ht="15" hidden="false" customHeight="false" outlineLevel="0" collapsed="false">
      <c r="A10" s="7" t="n">
        <v>9</v>
      </c>
      <c r="B10" s="7" t="s">
        <v>33</v>
      </c>
      <c r="C10" s="7" t="s">
        <v>34</v>
      </c>
      <c r="D10" s="7" t="s">
        <v>60</v>
      </c>
      <c r="E10" s="8" t="s">
        <v>61</v>
      </c>
      <c r="F10" s="9" t="s">
        <v>62</v>
      </c>
      <c r="G10" s="8" t="s">
        <v>62</v>
      </c>
      <c r="H10" s="9"/>
      <c r="I10" s="9"/>
      <c r="J10" s="10"/>
      <c r="K10" s="10"/>
      <c r="L10" s="10"/>
      <c r="M10" s="11" t="str">
        <f aca="false">IF(COUNTA(J10:L10)&lt;3,"",IF(COUNTIF(J10:L10,"유지")=3,"채택","제외"))</f>
        <v/>
      </c>
      <c r="N10" s="12"/>
    </row>
    <row r="11" customFormat="false" ht="15" hidden="false" customHeight="false" outlineLevel="0" collapsed="false">
      <c r="A11" s="7" t="n">
        <v>10</v>
      </c>
      <c r="B11" s="7" t="s">
        <v>33</v>
      </c>
      <c r="C11" s="7" t="s">
        <v>34</v>
      </c>
      <c r="D11" s="7" t="s">
        <v>63</v>
      </c>
      <c r="E11" s="8" t="s">
        <v>64</v>
      </c>
      <c r="F11" s="9" t="s">
        <v>65</v>
      </c>
      <c r="G11" s="8" t="s">
        <v>65</v>
      </c>
      <c r="H11" s="9"/>
      <c r="I11" s="9"/>
      <c r="J11" s="10"/>
      <c r="K11" s="10"/>
      <c r="L11" s="10"/>
      <c r="M11" s="11" t="str">
        <f aca="false">IF(COUNTA(J11:L11)&lt;3,"",IF(COUNTIF(J11:L11,"유지")=3,"채택","제외"))</f>
        <v/>
      </c>
      <c r="N11" s="12"/>
    </row>
    <row r="12" customFormat="false" ht="15" hidden="false" customHeight="false" outlineLevel="0" collapsed="false">
      <c r="A12" s="7" t="n">
        <v>11</v>
      </c>
      <c r="B12" s="7" t="s">
        <v>33</v>
      </c>
      <c r="C12" s="7" t="s">
        <v>34</v>
      </c>
      <c r="D12" s="7" t="s">
        <v>66</v>
      </c>
      <c r="E12" s="8" t="s">
        <v>67</v>
      </c>
      <c r="F12" s="9" t="s">
        <v>68</v>
      </c>
      <c r="G12" s="8" t="s">
        <v>68</v>
      </c>
      <c r="H12" s="13" t="s">
        <v>56</v>
      </c>
      <c r="I12" s="14" t="s">
        <v>69</v>
      </c>
      <c r="J12" s="10"/>
      <c r="K12" s="10"/>
      <c r="L12" s="10"/>
      <c r="M12" s="11" t="str">
        <f aca="false">IF(COUNTA(J12:L12)&lt;3,"",IF(COUNTIF(J12:L12,"유지")=3,"채택","제외"))</f>
        <v/>
      </c>
      <c r="N12" s="12"/>
    </row>
    <row r="13" customFormat="false" ht="29.85" hidden="false" customHeight="false" outlineLevel="0" collapsed="false">
      <c r="A13" s="7" t="n">
        <v>12</v>
      </c>
      <c r="B13" s="7" t="s">
        <v>33</v>
      </c>
      <c r="C13" s="7" t="s">
        <v>34</v>
      </c>
      <c r="D13" s="7" t="s">
        <v>70</v>
      </c>
      <c r="E13" s="8" t="s">
        <v>71</v>
      </c>
      <c r="F13" s="9" t="s">
        <v>72</v>
      </c>
      <c r="G13" s="8" t="s">
        <v>73</v>
      </c>
      <c r="H13" s="13" t="s">
        <v>74</v>
      </c>
      <c r="I13" s="14"/>
      <c r="J13" s="10"/>
      <c r="K13" s="10"/>
      <c r="L13" s="10"/>
      <c r="M13" s="11" t="str">
        <f aca="false">IF(COUNTA(J13:L13)&lt;3,"",IF(COUNTIF(J13:L13,"유지")=3,"채택","제외"))</f>
        <v/>
      </c>
      <c r="N13" s="12"/>
    </row>
    <row r="14" customFormat="false" ht="15" hidden="false" customHeight="false" outlineLevel="0" collapsed="false">
      <c r="A14" s="7" t="n">
        <v>13</v>
      </c>
      <c r="B14" s="7" t="s">
        <v>33</v>
      </c>
      <c r="C14" s="7" t="s">
        <v>34</v>
      </c>
      <c r="D14" s="7" t="s">
        <v>75</v>
      </c>
      <c r="E14" s="8" t="s">
        <v>76</v>
      </c>
      <c r="F14" s="9" t="s">
        <v>77</v>
      </c>
      <c r="G14" s="8" t="s">
        <v>77</v>
      </c>
      <c r="H14" s="9"/>
      <c r="I14" s="9"/>
      <c r="J14" s="10"/>
      <c r="K14" s="10"/>
      <c r="L14" s="10"/>
      <c r="M14" s="11" t="str">
        <f aca="false">IF(COUNTA(J14:L14)&lt;3,"",IF(COUNTIF(J14:L14,"유지")=3,"채택","제외"))</f>
        <v/>
      </c>
      <c r="N14" s="12"/>
    </row>
    <row r="15" customFormat="false" ht="15" hidden="false" customHeight="false" outlineLevel="0" collapsed="false">
      <c r="A15" s="7" t="n">
        <v>14</v>
      </c>
      <c r="B15" s="7" t="s">
        <v>33</v>
      </c>
      <c r="C15" s="7" t="s">
        <v>34</v>
      </c>
      <c r="D15" s="7" t="s">
        <v>78</v>
      </c>
      <c r="E15" s="8" t="s">
        <v>79</v>
      </c>
      <c r="F15" s="9" t="s">
        <v>80</v>
      </c>
      <c r="G15" s="8" t="s">
        <v>80</v>
      </c>
      <c r="H15" s="9"/>
      <c r="I15" s="9"/>
      <c r="J15" s="10"/>
      <c r="K15" s="10"/>
      <c r="L15" s="10"/>
      <c r="M15" s="11" t="str">
        <f aca="false">IF(COUNTA(J15:L15)&lt;3,"",IF(COUNTIF(J15:L15,"유지")=3,"채택","제외"))</f>
        <v/>
      </c>
      <c r="N15" s="12"/>
    </row>
    <row r="16" customFormat="false" ht="15" hidden="false" customHeight="false" outlineLevel="0" collapsed="false">
      <c r="A16" s="7" t="n">
        <v>15</v>
      </c>
      <c r="B16" s="7" t="s">
        <v>33</v>
      </c>
      <c r="C16" s="7" t="s">
        <v>34</v>
      </c>
      <c r="D16" s="7" t="s">
        <v>81</v>
      </c>
      <c r="E16" s="8" t="s">
        <v>82</v>
      </c>
      <c r="F16" s="9" t="s">
        <v>83</v>
      </c>
      <c r="G16" s="8" t="s">
        <v>83</v>
      </c>
      <c r="H16" s="9"/>
      <c r="I16" s="9"/>
      <c r="J16" s="10"/>
      <c r="K16" s="10"/>
      <c r="L16" s="10"/>
      <c r="M16" s="11" t="str">
        <f aca="false">IF(COUNTA(J16:L16)&lt;3,"",IF(COUNTIF(J16:L16,"유지")=3,"채택","제외"))</f>
        <v/>
      </c>
      <c r="N16" s="12"/>
    </row>
    <row r="17" customFormat="false" ht="15" hidden="false" customHeight="false" outlineLevel="0" collapsed="false">
      <c r="A17" s="7" t="n">
        <v>16</v>
      </c>
      <c r="B17" s="7" t="s">
        <v>33</v>
      </c>
      <c r="C17" s="7" t="s">
        <v>34</v>
      </c>
      <c r="D17" s="7" t="s">
        <v>84</v>
      </c>
      <c r="E17" s="8" t="s">
        <v>85</v>
      </c>
      <c r="F17" s="9" t="s">
        <v>86</v>
      </c>
      <c r="G17" s="8" t="s">
        <v>86</v>
      </c>
      <c r="H17" s="13" t="s">
        <v>87</v>
      </c>
      <c r="I17" s="14"/>
      <c r="J17" s="10"/>
      <c r="K17" s="10"/>
      <c r="L17" s="10"/>
      <c r="M17" s="11" t="str">
        <f aca="false">IF(COUNTA(J17:L17)&lt;3,"",IF(COUNTIF(J17:L17,"유지")=3,"채택","제외"))</f>
        <v/>
      </c>
      <c r="N17" s="12"/>
    </row>
    <row r="18" customFormat="false" ht="15" hidden="false" customHeight="false" outlineLevel="0" collapsed="false">
      <c r="A18" s="7" t="n">
        <v>17</v>
      </c>
      <c r="B18" s="7" t="s">
        <v>33</v>
      </c>
      <c r="C18" s="7" t="s">
        <v>34</v>
      </c>
      <c r="D18" s="7" t="s">
        <v>88</v>
      </c>
      <c r="E18" s="8" t="s">
        <v>89</v>
      </c>
      <c r="F18" s="9" t="s">
        <v>90</v>
      </c>
      <c r="G18" s="8" t="s">
        <v>90</v>
      </c>
      <c r="H18" s="9"/>
      <c r="I18" s="9"/>
      <c r="J18" s="10"/>
      <c r="K18" s="10"/>
      <c r="L18" s="10"/>
      <c r="M18" s="11" t="str">
        <f aca="false">IF(COUNTA(J18:L18)&lt;3,"",IF(COUNTIF(J18:L18,"유지")=3,"채택","제외"))</f>
        <v/>
      </c>
      <c r="N18" s="12"/>
    </row>
    <row r="19" customFormat="false" ht="15" hidden="false" customHeight="false" outlineLevel="0" collapsed="false">
      <c r="A19" s="7" t="n">
        <v>18</v>
      </c>
      <c r="B19" s="7" t="s">
        <v>33</v>
      </c>
      <c r="C19" s="7" t="s">
        <v>34</v>
      </c>
      <c r="D19" s="7" t="s">
        <v>91</v>
      </c>
      <c r="E19" s="8" t="s">
        <v>92</v>
      </c>
      <c r="F19" s="9" t="s">
        <v>93</v>
      </c>
      <c r="G19" s="8" t="s">
        <v>93</v>
      </c>
      <c r="H19" s="9"/>
      <c r="I19" s="9"/>
      <c r="J19" s="10"/>
      <c r="K19" s="10"/>
      <c r="L19" s="10"/>
      <c r="M19" s="11" t="str">
        <f aca="false">IF(COUNTA(J19:L19)&lt;3,"",IF(COUNTIF(J19:L19,"유지")=3,"채택","제외"))</f>
        <v/>
      </c>
      <c r="N19" s="12"/>
    </row>
    <row r="20" customFormat="false" ht="15" hidden="false" customHeight="false" outlineLevel="0" collapsed="false">
      <c r="A20" s="7" t="n">
        <v>19</v>
      </c>
      <c r="B20" s="7" t="s">
        <v>33</v>
      </c>
      <c r="C20" s="7" t="s">
        <v>34</v>
      </c>
      <c r="D20" s="7" t="s">
        <v>94</v>
      </c>
      <c r="E20" s="8" t="s">
        <v>95</v>
      </c>
      <c r="F20" s="9" t="s">
        <v>96</v>
      </c>
      <c r="G20" s="8" t="s">
        <v>96</v>
      </c>
      <c r="H20" s="9"/>
      <c r="I20" s="9"/>
      <c r="J20" s="10"/>
      <c r="K20" s="10"/>
      <c r="L20" s="10"/>
      <c r="M20" s="11" t="str">
        <f aca="false">IF(COUNTA(J20:L20)&lt;3,"",IF(COUNTIF(J20:L20,"유지")=3,"채택","제외"))</f>
        <v/>
      </c>
      <c r="N20" s="12"/>
    </row>
    <row r="21" customFormat="false" ht="15" hidden="false" customHeight="false" outlineLevel="0" collapsed="false">
      <c r="A21" s="7" t="n">
        <v>20</v>
      </c>
      <c r="B21" s="7" t="s">
        <v>33</v>
      </c>
      <c r="C21" s="7" t="s">
        <v>34</v>
      </c>
      <c r="D21" s="7" t="s">
        <v>97</v>
      </c>
      <c r="E21" s="8" t="s">
        <v>98</v>
      </c>
      <c r="F21" s="9" t="s">
        <v>99</v>
      </c>
      <c r="G21" s="8" t="s">
        <v>99</v>
      </c>
      <c r="H21" s="9"/>
      <c r="I21" s="9"/>
      <c r="J21" s="10"/>
      <c r="K21" s="10"/>
      <c r="L21" s="10"/>
      <c r="M21" s="11" t="str">
        <f aca="false">IF(COUNTA(J21:L21)&lt;3,"",IF(COUNTIF(J21:L21,"유지")=3,"채택","제외"))</f>
        <v/>
      </c>
      <c r="N21" s="12"/>
    </row>
    <row r="22" customFormat="false" ht="15" hidden="false" customHeight="false" outlineLevel="0" collapsed="false">
      <c r="A22" s="7" t="n">
        <v>21</v>
      </c>
      <c r="B22" s="7" t="s">
        <v>33</v>
      </c>
      <c r="C22" s="7" t="s">
        <v>34</v>
      </c>
      <c r="D22" s="7" t="s">
        <v>100</v>
      </c>
      <c r="E22" s="8" t="s">
        <v>101</v>
      </c>
      <c r="F22" s="9" t="s">
        <v>102</v>
      </c>
      <c r="G22" s="8" t="s">
        <v>102</v>
      </c>
      <c r="H22" s="9"/>
      <c r="I22" s="9"/>
      <c r="J22" s="10"/>
      <c r="K22" s="10"/>
      <c r="L22" s="10"/>
      <c r="M22" s="11" t="str">
        <f aca="false">IF(COUNTA(J22:L22)&lt;3,"",IF(COUNTIF(J22:L22,"유지")=3,"채택","제외"))</f>
        <v/>
      </c>
      <c r="N22" s="12"/>
    </row>
    <row r="23" customFormat="false" ht="15" hidden="false" customHeight="false" outlineLevel="0" collapsed="false">
      <c r="A23" s="7" t="n">
        <v>22</v>
      </c>
      <c r="B23" s="7" t="s">
        <v>33</v>
      </c>
      <c r="C23" s="7" t="s">
        <v>34</v>
      </c>
      <c r="D23" s="7" t="s">
        <v>103</v>
      </c>
      <c r="E23" s="8" t="s">
        <v>104</v>
      </c>
      <c r="F23" s="9" t="s">
        <v>105</v>
      </c>
      <c r="G23" s="8" t="s">
        <v>105</v>
      </c>
      <c r="H23" s="13" t="s">
        <v>87</v>
      </c>
      <c r="I23" s="14"/>
      <c r="J23" s="10"/>
      <c r="K23" s="10"/>
      <c r="L23" s="10"/>
      <c r="M23" s="11" t="str">
        <f aca="false">IF(COUNTA(J23:L23)&lt;3,"",IF(COUNTIF(J23:L23,"유지")=3,"채택","제외"))</f>
        <v/>
      </c>
      <c r="N23" s="12"/>
    </row>
    <row r="24" customFormat="false" ht="15" hidden="false" customHeight="false" outlineLevel="0" collapsed="false">
      <c r="A24" s="7" t="n">
        <v>23</v>
      </c>
      <c r="B24" s="7" t="s">
        <v>33</v>
      </c>
      <c r="C24" s="7" t="s">
        <v>34</v>
      </c>
      <c r="D24" s="7" t="s">
        <v>103</v>
      </c>
      <c r="E24" s="8" t="s">
        <v>106</v>
      </c>
      <c r="F24" s="9" t="s">
        <v>107</v>
      </c>
      <c r="G24" s="8" t="s">
        <v>107</v>
      </c>
      <c r="H24" s="13" t="s">
        <v>87</v>
      </c>
      <c r="I24" s="14"/>
      <c r="J24" s="10"/>
      <c r="K24" s="10"/>
      <c r="L24" s="10"/>
      <c r="M24" s="11" t="str">
        <f aca="false">IF(COUNTA(J24:L24)&lt;3,"",IF(COUNTIF(J24:L24,"유지")=3,"채택","제외"))</f>
        <v/>
      </c>
      <c r="N24" s="12"/>
    </row>
    <row r="25" customFormat="false" ht="15" hidden="false" customHeight="false" outlineLevel="0" collapsed="false">
      <c r="A25" s="7" t="n">
        <v>24</v>
      </c>
      <c r="B25" s="7" t="s">
        <v>33</v>
      </c>
      <c r="C25" s="7" t="s">
        <v>34</v>
      </c>
      <c r="D25" s="7" t="s">
        <v>108</v>
      </c>
      <c r="E25" s="8" t="s">
        <v>109</v>
      </c>
      <c r="F25" s="9" t="s">
        <v>110</v>
      </c>
      <c r="G25" s="8" t="s">
        <v>105</v>
      </c>
      <c r="H25" s="13" t="s">
        <v>87</v>
      </c>
      <c r="I25" s="14"/>
      <c r="J25" s="10"/>
      <c r="K25" s="10"/>
      <c r="L25" s="10"/>
      <c r="M25" s="11" t="str">
        <f aca="false">IF(COUNTA(J25:L25)&lt;3,"",IF(COUNTIF(J25:L25,"유지")=3,"채택","제외"))</f>
        <v/>
      </c>
      <c r="N25" s="12"/>
    </row>
    <row r="26" customFormat="false" ht="15" hidden="false" customHeight="false" outlineLevel="0" collapsed="false">
      <c r="A26" s="7" t="n">
        <v>25</v>
      </c>
      <c r="B26" s="7" t="s">
        <v>33</v>
      </c>
      <c r="C26" s="7" t="s">
        <v>34</v>
      </c>
      <c r="D26" s="7" t="s">
        <v>111</v>
      </c>
      <c r="E26" s="8" t="s">
        <v>112</v>
      </c>
      <c r="F26" s="9" t="s">
        <v>113</v>
      </c>
      <c r="G26" s="8" t="s">
        <v>113</v>
      </c>
      <c r="H26" s="9"/>
      <c r="I26" s="9"/>
      <c r="J26" s="10"/>
      <c r="K26" s="10"/>
      <c r="L26" s="10"/>
      <c r="M26" s="11" t="str">
        <f aca="false">IF(COUNTA(J26:L26)&lt;3,"",IF(COUNTIF(J26:L26,"유지")=3,"채택","제외"))</f>
        <v/>
      </c>
      <c r="N26" s="12"/>
    </row>
    <row r="27" customFormat="false" ht="15" hidden="false" customHeight="false" outlineLevel="0" collapsed="false">
      <c r="A27" s="7" t="n">
        <v>26</v>
      </c>
      <c r="B27" s="7" t="s">
        <v>33</v>
      </c>
      <c r="C27" s="7" t="s">
        <v>34</v>
      </c>
      <c r="D27" s="7" t="s">
        <v>114</v>
      </c>
      <c r="E27" s="8" t="s">
        <v>115</v>
      </c>
      <c r="F27" s="9" t="s">
        <v>116</v>
      </c>
      <c r="G27" s="8" t="s">
        <v>116</v>
      </c>
      <c r="H27" s="9"/>
      <c r="I27" s="9"/>
      <c r="J27" s="10"/>
      <c r="K27" s="10"/>
      <c r="L27" s="10"/>
      <c r="M27" s="11" t="str">
        <f aca="false">IF(COUNTA(J27:L27)&lt;3,"",IF(COUNTIF(J27:L27,"유지")=3,"채택","제외"))</f>
        <v/>
      </c>
      <c r="N27" s="12"/>
    </row>
    <row r="28" customFormat="false" ht="29.85" hidden="false" customHeight="false" outlineLevel="0" collapsed="false">
      <c r="A28" s="7" t="n">
        <v>27</v>
      </c>
      <c r="B28" s="7" t="s">
        <v>33</v>
      </c>
      <c r="C28" s="7" t="s">
        <v>34</v>
      </c>
      <c r="D28" s="7" t="s">
        <v>117</v>
      </c>
      <c r="E28" s="8" t="s">
        <v>118</v>
      </c>
      <c r="F28" s="9" t="s">
        <v>119</v>
      </c>
      <c r="G28" s="8" t="s">
        <v>120</v>
      </c>
      <c r="H28" s="13" t="s">
        <v>74</v>
      </c>
      <c r="I28" s="14"/>
      <c r="J28" s="10"/>
      <c r="K28" s="10"/>
      <c r="L28" s="10"/>
      <c r="M28" s="11" t="str">
        <f aca="false">IF(COUNTA(J28:L28)&lt;3,"",IF(COUNTIF(J28:L28,"유지")=3,"채택","제외"))</f>
        <v/>
      </c>
      <c r="N28" s="12"/>
    </row>
    <row r="29" customFormat="false" ht="15" hidden="false" customHeight="false" outlineLevel="0" collapsed="false">
      <c r="A29" s="7" t="n">
        <v>28</v>
      </c>
      <c r="B29" s="7" t="s">
        <v>33</v>
      </c>
      <c r="C29" s="7" t="s">
        <v>34</v>
      </c>
      <c r="D29" s="7" t="s">
        <v>121</v>
      </c>
      <c r="E29" s="8" t="s">
        <v>122</v>
      </c>
      <c r="F29" s="9" t="s">
        <v>123</v>
      </c>
      <c r="G29" s="8" t="s">
        <v>123</v>
      </c>
      <c r="H29" s="9"/>
      <c r="I29" s="9"/>
      <c r="J29" s="10"/>
      <c r="K29" s="10"/>
      <c r="L29" s="10"/>
      <c r="M29" s="11" t="str">
        <f aca="false">IF(COUNTA(J29:L29)&lt;3,"",IF(COUNTIF(J29:L29,"유지")=3,"채택","제외"))</f>
        <v/>
      </c>
      <c r="N29" s="12"/>
    </row>
    <row r="30" customFormat="false" ht="15" hidden="false" customHeight="false" outlineLevel="0" collapsed="false">
      <c r="A30" s="7" t="n">
        <v>29</v>
      </c>
      <c r="B30" s="7" t="s">
        <v>33</v>
      </c>
      <c r="C30" s="7" t="s">
        <v>34</v>
      </c>
      <c r="D30" s="7" t="s">
        <v>124</v>
      </c>
      <c r="E30" s="8" t="s">
        <v>125</v>
      </c>
      <c r="F30" s="9" t="s">
        <v>126</v>
      </c>
      <c r="G30" s="8" t="s">
        <v>126</v>
      </c>
      <c r="H30" s="13" t="s">
        <v>74</v>
      </c>
      <c r="I30" s="14"/>
      <c r="J30" s="10"/>
      <c r="K30" s="10"/>
      <c r="L30" s="10"/>
      <c r="M30" s="11" t="str">
        <f aca="false">IF(COUNTA(J30:L30)&lt;3,"",IF(COUNTIF(J30:L30,"유지")=3,"채택","제외"))</f>
        <v/>
      </c>
      <c r="N30" s="12"/>
    </row>
    <row r="31" customFormat="false" ht="15" hidden="false" customHeight="false" outlineLevel="0" collapsed="false">
      <c r="A31" s="7" t="n">
        <v>30</v>
      </c>
      <c r="B31" s="7" t="s">
        <v>33</v>
      </c>
      <c r="C31" s="7" t="s">
        <v>34</v>
      </c>
      <c r="D31" s="7" t="s">
        <v>127</v>
      </c>
      <c r="E31" s="8" t="s">
        <v>128</v>
      </c>
      <c r="F31" s="9" t="s">
        <v>129</v>
      </c>
      <c r="G31" s="8" t="s">
        <v>130</v>
      </c>
      <c r="H31" s="13" t="s">
        <v>74</v>
      </c>
      <c r="I31" s="14"/>
      <c r="J31" s="10"/>
      <c r="K31" s="10"/>
      <c r="L31" s="10"/>
      <c r="M31" s="11" t="str">
        <f aca="false">IF(COUNTA(J31:L31)&lt;3,"",IF(COUNTIF(J31:L31,"유지")=3,"채택","제외"))</f>
        <v/>
      </c>
      <c r="N31" s="12"/>
    </row>
    <row r="32" customFormat="false" ht="15" hidden="false" customHeight="false" outlineLevel="0" collapsed="false">
      <c r="A32" s="7" t="n">
        <v>31</v>
      </c>
      <c r="B32" s="7" t="s">
        <v>33</v>
      </c>
      <c r="C32" s="7" t="s">
        <v>34</v>
      </c>
      <c r="D32" s="7" t="s">
        <v>131</v>
      </c>
      <c r="E32" s="8" t="s">
        <v>132</v>
      </c>
      <c r="F32" s="9" t="s">
        <v>133</v>
      </c>
      <c r="G32" s="8" t="s">
        <v>133</v>
      </c>
      <c r="H32" s="9"/>
      <c r="I32" s="9"/>
      <c r="J32" s="10"/>
      <c r="K32" s="10"/>
      <c r="L32" s="10"/>
      <c r="M32" s="11" t="str">
        <f aca="false">IF(COUNTA(J32:L32)&lt;3,"",IF(COUNTIF(J32:L32,"유지")=3,"채택","제외"))</f>
        <v/>
      </c>
      <c r="N32" s="12"/>
    </row>
    <row r="33" customFormat="false" ht="15" hidden="false" customHeight="false" outlineLevel="0" collapsed="false">
      <c r="A33" s="7" t="n">
        <v>32</v>
      </c>
      <c r="B33" s="7" t="s">
        <v>33</v>
      </c>
      <c r="C33" s="7" t="s">
        <v>134</v>
      </c>
      <c r="D33" s="7" t="s">
        <v>134</v>
      </c>
      <c r="E33" s="8" t="s">
        <v>135</v>
      </c>
      <c r="F33" s="9" t="s">
        <v>136</v>
      </c>
      <c r="G33" s="8" t="s">
        <v>136</v>
      </c>
      <c r="H33" s="9"/>
      <c r="I33" s="9"/>
      <c r="J33" s="10"/>
      <c r="K33" s="10"/>
      <c r="L33" s="10"/>
      <c r="M33" s="11" t="str">
        <f aca="false">IF(COUNTA(J33:L33)&lt;3,"",IF(COUNTIF(J33:L33,"유지")=3,"채택","제외"))</f>
        <v/>
      </c>
      <c r="N33" s="12"/>
    </row>
    <row r="34" customFormat="false" ht="15" hidden="false" customHeight="false" outlineLevel="0" collapsed="false">
      <c r="A34" s="7" t="n">
        <v>33</v>
      </c>
      <c r="B34" s="7" t="s">
        <v>33</v>
      </c>
      <c r="C34" s="7" t="s">
        <v>134</v>
      </c>
      <c r="D34" s="7" t="s">
        <v>137</v>
      </c>
      <c r="E34" s="8" t="s">
        <v>138</v>
      </c>
      <c r="F34" s="9" t="s">
        <v>139</v>
      </c>
      <c r="G34" s="8" t="s">
        <v>139</v>
      </c>
      <c r="H34" s="14"/>
      <c r="I34" s="14" t="s">
        <v>140</v>
      </c>
      <c r="J34" s="10"/>
      <c r="K34" s="10"/>
      <c r="L34" s="10"/>
      <c r="M34" s="11" t="str">
        <f aca="false">IF(COUNTA(J34:L34)&lt;3,"",IF(COUNTIF(J34:L34,"유지")=3,"채택","제외"))</f>
        <v/>
      </c>
      <c r="N34" s="12"/>
    </row>
    <row r="35" customFormat="false" ht="15" hidden="false" customHeight="false" outlineLevel="0" collapsed="false">
      <c r="A35" s="7" t="n">
        <v>34</v>
      </c>
      <c r="B35" s="7" t="s">
        <v>33</v>
      </c>
      <c r="C35" s="7" t="s">
        <v>134</v>
      </c>
      <c r="D35" s="7" t="s">
        <v>137</v>
      </c>
      <c r="E35" s="8" t="s">
        <v>141</v>
      </c>
      <c r="F35" s="9" t="s">
        <v>142</v>
      </c>
      <c r="G35" s="8" t="s">
        <v>143</v>
      </c>
      <c r="H35" s="13" t="s">
        <v>87</v>
      </c>
      <c r="I35" s="14"/>
      <c r="J35" s="10"/>
      <c r="K35" s="10"/>
      <c r="L35" s="10"/>
      <c r="M35" s="11" t="str">
        <f aca="false">IF(COUNTA(J35:L35)&lt;3,"",IF(COUNTIF(J35:L35,"유지")=3,"채택","제외"))</f>
        <v/>
      </c>
      <c r="N35" s="12"/>
    </row>
    <row r="36" customFormat="false" ht="15" hidden="false" customHeight="false" outlineLevel="0" collapsed="false">
      <c r="A36" s="7" t="n">
        <v>35</v>
      </c>
      <c r="B36" s="7" t="s">
        <v>33</v>
      </c>
      <c r="C36" s="7" t="s">
        <v>134</v>
      </c>
      <c r="D36" s="7" t="s">
        <v>144</v>
      </c>
      <c r="E36" s="8" t="s">
        <v>145</v>
      </c>
      <c r="F36" s="9" t="s">
        <v>146</v>
      </c>
      <c r="G36" s="8" t="s">
        <v>146</v>
      </c>
      <c r="H36" s="9"/>
      <c r="I36" s="9"/>
      <c r="J36" s="10"/>
      <c r="K36" s="10"/>
      <c r="L36" s="10"/>
      <c r="M36" s="11" t="str">
        <f aca="false">IF(COUNTA(J36:L36)&lt;3,"",IF(COUNTIF(J36:L36,"유지")=3,"채택","제외"))</f>
        <v/>
      </c>
      <c r="N36" s="12"/>
    </row>
    <row r="37" customFormat="false" ht="15" hidden="false" customHeight="false" outlineLevel="0" collapsed="false">
      <c r="A37" s="7" t="n">
        <v>36</v>
      </c>
      <c r="B37" s="7" t="s">
        <v>33</v>
      </c>
      <c r="C37" s="7" t="s">
        <v>134</v>
      </c>
      <c r="D37" s="7" t="s">
        <v>147</v>
      </c>
      <c r="E37" s="8" t="s">
        <v>148</v>
      </c>
      <c r="F37" s="9" t="s">
        <v>149</v>
      </c>
      <c r="G37" s="8" t="s">
        <v>149</v>
      </c>
      <c r="H37" s="9"/>
      <c r="I37" s="9"/>
      <c r="J37" s="10"/>
      <c r="K37" s="10"/>
      <c r="L37" s="10"/>
      <c r="M37" s="11" t="str">
        <f aca="false">IF(COUNTA(J37:L37)&lt;3,"",IF(COUNTIF(J37:L37,"유지")=3,"채택","제외"))</f>
        <v/>
      </c>
      <c r="N37" s="12"/>
    </row>
    <row r="38" customFormat="false" ht="15" hidden="false" customHeight="false" outlineLevel="0" collapsed="false">
      <c r="A38" s="7" t="n">
        <v>37</v>
      </c>
      <c r="B38" s="7" t="s">
        <v>33</v>
      </c>
      <c r="C38" s="7" t="s">
        <v>134</v>
      </c>
      <c r="D38" s="7" t="s">
        <v>150</v>
      </c>
      <c r="E38" s="8" t="s">
        <v>151</v>
      </c>
      <c r="F38" s="9" t="s">
        <v>152</v>
      </c>
      <c r="G38" s="8" t="s">
        <v>152</v>
      </c>
      <c r="H38" s="9"/>
      <c r="I38" s="9"/>
      <c r="J38" s="10"/>
      <c r="K38" s="10"/>
      <c r="L38" s="10"/>
      <c r="M38" s="11" t="str">
        <f aca="false">IF(COUNTA(J38:L38)&lt;3,"",IF(COUNTIF(J38:L38,"유지")=3,"채택","제외"))</f>
        <v/>
      </c>
      <c r="N38" s="12"/>
    </row>
    <row r="39" customFormat="false" ht="15" hidden="false" customHeight="false" outlineLevel="0" collapsed="false">
      <c r="A39" s="7" t="n">
        <v>38</v>
      </c>
      <c r="B39" s="7" t="s">
        <v>33</v>
      </c>
      <c r="C39" s="7" t="s">
        <v>134</v>
      </c>
      <c r="D39" s="7" t="s">
        <v>153</v>
      </c>
      <c r="E39" s="8" t="s">
        <v>154</v>
      </c>
      <c r="F39" s="9" t="s">
        <v>155</v>
      </c>
      <c r="G39" s="8" t="s">
        <v>155</v>
      </c>
      <c r="H39" s="9"/>
      <c r="I39" s="9"/>
      <c r="J39" s="10"/>
      <c r="K39" s="10"/>
      <c r="L39" s="10"/>
      <c r="M39" s="11" t="str">
        <f aca="false">IF(COUNTA(J39:L39)&lt;3,"",IF(COUNTIF(J39:L39,"유지")=3,"채택","제외"))</f>
        <v/>
      </c>
      <c r="N39" s="12"/>
    </row>
    <row r="40" customFormat="false" ht="15" hidden="false" customHeight="false" outlineLevel="0" collapsed="false">
      <c r="A40" s="7" t="n">
        <v>39</v>
      </c>
      <c r="B40" s="7" t="s">
        <v>33</v>
      </c>
      <c r="C40" s="7" t="s">
        <v>134</v>
      </c>
      <c r="D40" s="7" t="s">
        <v>156</v>
      </c>
      <c r="E40" s="8" t="s">
        <v>157</v>
      </c>
      <c r="F40" s="9" t="s">
        <v>158</v>
      </c>
      <c r="G40" s="8" t="s">
        <v>159</v>
      </c>
      <c r="H40" s="9"/>
      <c r="I40" s="9"/>
      <c r="J40" s="10"/>
      <c r="K40" s="10"/>
      <c r="L40" s="10"/>
      <c r="M40" s="11" t="str">
        <f aca="false">IF(COUNTA(J40:L40)&lt;3,"",IF(COUNTIF(J40:L40,"유지")=3,"채택","제외"))</f>
        <v/>
      </c>
      <c r="N40" s="12"/>
    </row>
    <row r="41" customFormat="false" ht="15" hidden="false" customHeight="false" outlineLevel="0" collapsed="false">
      <c r="A41" s="7" t="n">
        <v>40</v>
      </c>
      <c r="B41" s="7" t="s">
        <v>33</v>
      </c>
      <c r="C41" s="7" t="s">
        <v>134</v>
      </c>
      <c r="D41" s="7" t="s">
        <v>160</v>
      </c>
      <c r="E41" s="8" t="s">
        <v>161</v>
      </c>
      <c r="F41" s="9" t="s">
        <v>162</v>
      </c>
      <c r="G41" s="8" t="s">
        <v>162</v>
      </c>
      <c r="H41" s="9"/>
      <c r="I41" s="9"/>
      <c r="J41" s="10"/>
      <c r="K41" s="10"/>
      <c r="L41" s="10"/>
      <c r="M41" s="11" t="str">
        <f aca="false">IF(COUNTA(J41:L41)&lt;3,"",IF(COUNTIF(J41:L41,"유지")=3,"채택","제외"))</f>
        <v/>
      </c>
      <c r="N41" s="12"/>
    </row>
    <row r="42" customFormat="false" ht="15" hidden="false" customHeight="false" outlineLevel="0" collapsed="false">
      <c r="A42" s="7" t="n">
        <v>41</v>
      </c>
      <c r="B42" s="7" t="s">
        <v>33</v>
      </c>
      <c r="C42" s="7" t="s">
        <v>134</v>
      </c>
      <c r="D42" s="7" t="s">
        <v>163</v>
      </c>
      <c r="E42" s="8" t="s">
        <v>164</v>
      </c>
      <c r="F42" s="9" t="s">
        <v>165</v>
      </c>
      <c r="G42" s="8" t="s">
        <v>165</v>
      </c>
      <c r="H42" s="9"/>
      <c r="I42" s="9"/>
      <c r="J42" s="10"/>
      <c r="K42" s="10"/>
      <c r="L42" s="10"/>
      <c r="M42" s="11" t="str">
        <f aca="false">IF(COUNTA(J42:L42)&lt;3,"",IF(COUNTIF(J42:L42,"유지")=3,"채택","제외"))</f>
        <v/>
      </c>
      <c r="N42" s="12"/>
    </row>
    <row r="43" customFormat="false" ht="15" hidden="false" customHeight="false" outlineLevel="0" collapsed="false">
      <c r="A43" s="7" t="n">
        <v>42</v>
      </c>
      <c r="B43" s="7" t="s">
        <v>33</v>
      </c>
      <c r="C43" s="7" t="s">
        <v>134</v>
      </c>
      <c r="D43" s="7" t="s">
        <v>166</v>
      </c>
      <c r="E43" s="8" t="s">
        <v>167</v>
      </c>
      <c r="F43" s="9" t="s">
        <v>168</v>
      </c>
      <c r="G43" s="8" t="s">
        <v>168</v>
      </c>
      <c r="H43" s="9"/>
      <c r="I43" s="9"/>
      <c r="J43" s="10"/>
      <c r="K43" s="10"/>
      <c r="L43" s="10"/>
      <c r="M43" s="11" t="str">
        <f aca="false">IF(COUNTA(J43:L43)&lt;3,"",IF(COUNTIF(J43:L43,"유지")=3,"채택","제외"))</f>
        <v/>
      </c>
      <c r="N43" s="12"/>
    </row>
    <row r="44" customFormat="false" ht="15" hidden="false" customHeight="false" outlineLevel="0" collapsed="false">
      <c r="A44" s="7" t="n">
        <v>43</v>
      </c>
      <c r="B44" s="7" t="s">
        <v>33</v>
      </c>
      <c r="C44" s="7" t="s">
        <v>134</v>
      </c>
      <c r="D44" s="7" t="s">
        <v>166</v>
      </c>
      <c r="E44" s="8" t="s">
        <v>169</v>
      </c>
      <c r="F44" s="9" t="s">
        <v>170</v>
      </c>
      <c r="G44" s="8" t="s">
        <v>170</v>
      </c>
      <c r="H44" s="9"/>
      <c r="I44" s="9"/>
      <c r="J44" s="10"/>
      <c r="K44" s="10"/>
      <c r="L44" s="10"/>
      <c r="M44" s="11" t="str">
        <f aca="false">IF(COUNTA(J44:L44)&lt;3,"",IF(COUNTIF(J44:L44,"유지")=3,"채택","제외"))</f>
        <v/>
      </c>
      <c r="N44" s="12"/>
    </row>
    <row r="45" customFormat="false" ht="15" hidden="false" customHeight="false" outlineLevel="0" collapsed="false">
      <c r="A45" s="7" t="n">
        <v>44</v>
      </c>
      <c r="B45" s="7" t="s">
        <v>33</v>
      </c>
      <c r="C45" s="7" t="s">
        <v>134</v>
      </c>
      <c r="D45" s="7" t="s">
        <v>171</v>
      </c>
      <c r="E45" s="8" t="s">
        <v>172</v>
      </c>
      <c r="F45" s="9" t="s">
        <v>173</v>
      </c>
      <c r="G45" s="8" t="s">
        <v>173</v>
      </c>
      <c r="H45" s="9"/>
      <c r="I45" s="9"/>
      <c r="J45" s="10"/>
      <c r="K45" s="10"/>
      <c r="L45" s="10"/>
      <c r="M45" s="11" t="str">
        <f aca="false">IF(COUNTA(J45:L45)&lt;3,"",IF(COUNTIF(J45:L45,"유지")=3,"채택","제외"))</f>
        <v/>
      </c>
      <c r="N45" s="12"/>
    </row>
    <row r="46" customFormat="false" ht="15" hidden="false" customHeight="false" outlineLevel="0" collapsed="false">
      <c r="A46" s="7" t="n">
        <v>45</v>
      </c>
      <c r="B46" s="7" t="s">
        <v>33</v>
      </c>
      <c r="C46" s="7" t="s">
        <v>134</v>
      </c>
      <c r="D46" s="7" t="s">
        <v>174</v>
      </c>
      <c r="E46" s="8" t="s">
        <v>175</v>
      </c>
      <c r="F46" s="9" t="s">
        <v>176</v>
      </c>
      <c r="G46" s="8" t="s">
        <v>176</v>
      </c>
      <c r="H46" s="9"/>
      <c r="I46" s="9"/>
      <c r="J46" s="10"/>
      <c r="K46" s="10"/>
      <c r="L46" s="10"/>
      <c r="M46" s="11" t="str">
        <f aca="false">IF(COUNTA(J46:L46)&lt;3,"",IF(COUNTIF(J46:L46,"유지")=3,"채택","제외"))</f>
        <v/>
      </c>
      <c r="N46" s="12"/>
    </row>
    <row r="47" customFormat="false" ht="15" hidden="false" customHeight="false" outlineLevel="0" collapsed="false">
      <c r="A47" s="7" t="n">
        <v>46</v>
      </c>
      <c r="B47" s="7" t="s">
        <v>33</v>
      </c>
      <c r="C47" s="7" t="s">
        <v>134</v>
      </c>
      <c r="D47" s="7" t="s">
        <v>177</v>
      </c>
      <c r="E47" s="8" t="s">
        <v>178</v>
      </c>
      <c r="F47" s="9" t="s">
        <v>179</v>
      </c>
      <c r="G47" s="8" t="s">
        <v>179</v>
      </c>
      <c r="H47" s="9"/>
      <c r="I47" s="9"/>
      <c r="J47" s="10"/>
      <c r="K47" s="10"/>
      <c r="L47" s="10"/>
      <c r="M47" s="11" t="str">
        <f aca="false">IF(COUNTA(J47:L47)&lt;3,"",IF(COUNTIF(J47:L47,"유지")=3,"채택","제외"))</f>
        <v/>
      </c>
      <c r="N47" s="12"/>
    </row>
    <row r="48" customFormat="false" ht="15" hidden="false" customHeight="false" outlineLevel="0" collapsed="false">
      <c r="A48" s="7" t="n">
        <v>47</v>
      </c>
      <c r="B48" s="7" t="s">
        <v>33</v>
      </c>
      <c r="C48" s="7" t="s">
        <v>134</v>
      </c>
      <c r="D48" s="7" t="s">
        <v>177</v>
      </c>
      <c r="E48" s="8" t="s">
        <v>180</v>
      </c>
      <c r="F48" s="9" t="s">
        <v>181</v>
      </c>
      <c r="G48" s="8" t="s">
        <v>181</v>
      </c>
      <c r="H48" s="9"/>
      <c r="I48" s="9"/>
      <c r="J48" s="10"/>
      <c r="K48" s="10"/>
      <c r="L48" s="10"/>
      <c r="M48" s="11" t="str">
        <f aca="false">IF(COUNTA(J48:L48)&lt;3,"",IF(COUNTIF(J48:L48,"유지")=3,"채택","제외"))</f>
        <v/>
      </c>
      <c r="N48" s="12"/>
    </row>
    <row r="49" customFormat="false" ht="15" hidden="false" customHeight="false" outlineLevel="0" collapsed="false">
      <c r="A49" s="7" t="n">
        <v>48</v>
      </c>
      <c r="B49" s="7" t="s">
        <v>33</v>
      </c>
      <c r="C49" s="7" t="s">
        <v>134</v>
      </c>
      <c r="D49" s="7" t="s">
        <v>182</v>
      </c>
      <c r="E49" s="8" t="s">
        <v>183</v>
      </c>
      <c r="F49" s="9" t="s">
        <v>184</v>
      </c>
      <c r="G49" s="8" t="s">
        <v>184</v>
      </c>
      <c r="H49" s="9"/>
      <c r="I49" s="9"/>
      <c r="J49" s="10"/>
      <c r="K49" s="10"/>
      <c r="L49" s="10"/>
      <c r="M49" s="11" t="str">
        <f aca="false">IF(COUNTA(J49:L49)&lt;3,"",IF(COUNTIF(J49:L49,"유지")=3,"채택","제외"))</f>
        <v/>
      </c>
      <c r="N49" s="12"/>
    </row>
    <row r="50" customFormat="false" ht="15" hidden="false" customHeight="false" outlineLevel="0" collapsed="false">
      <c r="A50" s="7" t="n">
        <v>49</v>
      </c>
      <c r="B50" s="7" t="s">
        <v>33</v>
      </c>
      <c r="C50" s="7" t="s">
        <v>134</v>
      </c>
      <c r="D50" s="7" t="s">
        <v>185</v>
      </c>
      <c r="E50" s="8" t="s">
        <v>186</v>
      </c>
      <c r="F50" s="9" t="s">
        <v>187</v>
      </c>
      <c r="G50" s="8" t="s">
        <v>187</v>
      </c>
      <c r="H50" s="9"/>
      <c r="I50" s="9"/>
      <c r="J50" s="10"/>
      <c r="K50" s="10"/>
      <c r="L50" s="10"/>
      <c r="M50" s="11" t="str">
        <f aca="false">IF(COUNTA(J50:L50)&lt;3,"",IF(COUNTIF(J50:L50,"유지")=3,"채택","제외"))</f>
        <v/>
      </c>
      <c r="N50" s="12"/>
    </row>
    <row r="51" customFormat="false" ht="15" hidden="false" customHeight="false" outlineLevel="0" collapsed="false">
      <c r="A51" s="7" t="n">
        <v>50</v>
      </c>
      <c r="B51" s="7" t="s">
        <v>33</v>
      </c>
      <c r="C51" s="7" t="s">
        <v>134</v>
      </c>
      <c r="D51" s="7" t="s">
        <v>188</v>
      </c>
      <c r="E51" s="8" t="s">
        <v>189</v>
      </c>
      <c r="F51" s="9" t="s">
        <v>190</v>
      </c>
      <c r="G51" s="8" t="s">
        <v>191</v>
      </c>
      <c r="H51" s="13" t="s">
        <v>87</v>
      </c>
      <c r="I51" s="14"/>
      <c r="J51" s="10"/>
      <c r="K51" s="10"/>
      <c r="L51" s="10"/>
      <c r="M51" s="11" t="str">
        <f aca="false">IF(COUNTA(J51:L51)&lt;3,"",IF(COUNTIF(J51:L51,"유지")=3,"채택","제외"))</f>
        <v/>
      </c>
      <c r="N51" s="12"/>
    </row>
    <row r="52" customFormat="false" ht="15" hidden="false" customHeight="false" outlineLevel="0" collapsed="false">
      <c r="A52" s="7" t="n">
        <v>51</v>
      </c>
      <c r="B52" s="7" t="s">
        <v>33</v>
      </c>
      <c r="C52" s="7" t="s">
        <v>134</v>
      </c>
      <c r="D52" s="7" t="s">
        <v>192</v>
      </c>
      <c r="E52" s="8" t="s">
        <v>193</v>
      </c>
      <c r="F52" s="9" t="s">
        <v>191</v>
      </c>
      <c r="G52" s="8" t="s">
        <v>191</v>
      </c>
      <c r="H52" s="13" t="s">
        <v>87</v>
      </c>
      <c r="I52" s="14"/>
      <c r="J52" s="10"/>
      <c r="K52" s="10"/>
      <c r="L52" s="10"/>
      <c r="M52" s="11" t="str">
        <f aca="false">IF(COUNTA(J52:L52)&lt;3,"",IF(COUNTIF(J52:L52,"유지")=3,"채택","제외"))</f>
        <v/>
      </c>
      <c r="N52" s="12"/>
    </row>
    <row r="53" customFormat="false" ht="15" hidden="false" customHeight="false" outlineLevel="0" collapsed="false">
      <c r="A53" s="7" t="n">
        <v>52</v>
      </c>
      <c r="B53" s="7" t="s">
        <v>33</v>
      </c>
      <c r="C53" s="7" t="s">
        <v>134</v>
      </c>
      <c r="D53" s="7" t="s">
        <v>194</v>
      </c>
      <c r="E53" s="8" t="s">
        <v>195</v>
      </c>
      <c r="F53" s="9" t="s">
        <v>196</v>
      </c>
      <c r="G53" s="8" t="s">
        <v>196</v>
      </c>
      <c r="H53" s="9"/>
      <c r="I53" s="9"/>
      <c r="J53" s="10"/>
      <c r="K53" s="10"/>
      <c r="L53" s="10"/>
      <c r="M53" s="11" t="str">
        <f aca="false">IF(COUNTA(J53:L53)&lt;3,"",IF(COUNTIF(J53:L53,"유지")=3,"채택","제외"))</f>
        <v/>
      </c>
      <c r="N53" s="12"/>
    </row>
    <row r="54" customFormat="false" ht="15" hidden="false" customHeight="false" outlineLevel="0" collapsed="false">
      <c r="A54" s="7" t="n">
        <v>53</v>
      </c>
      <c r="B54" s="7" t="s">
        <v>33</v>
      </c>
      <c r="C54" s="7" t="s">
        <v>134</v>
      </c>
      <c r="D54" s="7" t="s">
        <v>197</v>
      </c>
      <c r="E54" s="8" t="s">
        <v>198</v>
      </c>
      <c r="F54" s="9" t="s">
        <v>199</v>
      </c>
      <c r="G54" s="8" t="s">
        <v>199</v>
      </c>
      <c r="H54" s="9"/>
      <c r="I54" s="9"/>
      <c r="J54" s="10"/>
      <c r="K54" s="10"/>
      <c r="L54" s="10"/>
      <c r="M54" s="11" t="str">
        <f aca="false">IF(COUNTA(J54:L54)&lt;3,"",IF(COUNTIF(J54:L54,"유지")=3,"채택","제외"))</f>
        <v/>
      </c>
      <c r="N54" s="12"/>
    </row>
    <row r="55" customFormat="false" ht="15" hidden="false" customHeight="false" outlineLevel="0" collapsed="false">
      <c r="A55" s="7" t="n">
        <v>54</v>
      </c>
      <c r="B55" s="7" t="s">
        <v>33</v>
      </c>
      <c r="C55" s="7" t="s">
        <v>134</v>
      </c>
      <c r="D55" s="7" t="s">
        <v>200</v>
      </c>
      <c r="E55" s="8" t="s">
        <v>201</v>
      </c>
      <c r="F55" s="9" t="s">
        <v>202</v>
      </c>
      <c r="G55" s="8" t="s">
        <v>202</v>
      </c>
      <c r="H55" s="9"/>
      <c r="I55" s="9"/>
      <c r="J55" s="10"/>
      <c r="K55" s="10"/>
      <c r="L55" s="10"/>
      <c r="M55" s="11" t="str">
        <f aca="false">IF(COUNTA(J55:L55)&lt;3,"",IF(COUNTIF(J55:L55,"유지")=3,"채택","제외"))</f>
        <v/>
      </c>
      <c r="N55" s="12"/>
    </row>
    <row r="56" customFormat="false" ht="15" hidden="false" customHeight="false" outlineLevel="0" collapsed="false">
      <c r="A56" s="7" t="n">
        <v>55</v>
      </c>
      <c r="B56" s="7" t="s">
        <v>33</v>
      </c>
      <c r="C56" s="7" t="s">
        <v>134</v>
      </c>
      <c r="D56" s="7" t="s">
        <v>203</v>
      </c>
      <c r="E56" s="8" t="s">
        <v>204</v>
      </c>
      <c r="F56" s="9" t="s">
        <v>205</v>
      </c>
      <c r="G56" s="8" t="s">
        <v>205</v>
      </c>
      <c r="H56" s="9"/>
      <c r="I56" s="9"/>
      <c r="J56" s="10"/>
      <c r="K56" s="10"/>
      <c r="L56" s="10"/>
      <c r="M56" s="11" t="str">
        <f aca="false">IF(COUNTA(J56:L56)&lt;3,"",IF(COUNTIF(J56:L56,"유지")=3,"채택","제외"))</f>
        <v/>
      </c>
      <c r="N56" s="12"/>
    </row>
    <row r="57" customFormat="false" ht="15" hidden="false" customHeight="false" outlineLevel="0" collapsed="false">
      <c r="A57" s="7" t="n">
        <v>56</v>
      </c>
      <c r="B57" s="7" t="s">
        <v>33</v>
      </c>
      <c r="C57" s="7" t="s">
        <v>134</v>
      </c>
      <c r="D57" s="7" t="s">
        <v>203</v>
      </c>
      <c r="E57" s="8" t="s">
        <v>206</v>
      </c>
      <c r="F57" s="9" t="s">
        <v>207</v>
      </c>
      <c r="G57" s="8" t="s">
        <v>207</v>
      </c>
      <c r="H57" s="9"/>
      <c r="I57" s="9"/>
      <c r="J57" s="10"/>
      <c r="K57" s="10"/>
      <c r="L57" s="10"/>
      <c r="M57" s="11" t="str">
        <f aca="false">IF(COUNTA(J57:L57)&lt;3,"",IF(COUNTIF(J57:L57,"유지")=3,"채택","제외"))</f>
        <v/>
      </c>
      <c r="N57" s="12"/>
    </row>
    <row r="58" customFormat="false" ht="15" hidden="false" customHeight="false" outlineLevel="0" collapsed="false">
      <c r="A58" s="7" t="n">
        <v>57</v>
      </c>
      <c r="B58" s="7" t="s">
        <v>33</v>
      </c>
      <c r="C58" s="7" t="s">
        <v>134</v>
      </c>
      <c r="D58" s="7" t="s">
        <v>208</v>
      </c>
      <c r="E58" s="8" t="s">
        <v>209</v>
      </c>
      <c r="F58" s="9" t="s">
        <v>210</v>
      </c>
      <c r="G58" s="8" t="s">
        <v>210</v>
      </c>
      <c r="H58" s="13" t="s">
        <v>87</v>
      </c>
      <c r="I58" s="14"/>
      <c r="J58" s="10"/>
      <c r="K58" s="10"/>
      <c r="L58" s="10"/>
      <c r="M58" s="11" t="str">
        <f aca="false">IF(COUNTA(J58:L58)&lt;3,"",IF(COUNTIF(J58:L58,"유지")=3,"채택","제외"))</f>
        <v/>
      </c>
      <c r="N58" s="12"/>
    </row>
    <row r="59" customFormat="false" ht="15" hidden="false" customHeight="false" outlineLevel="0" collapsed="false">
      <c r="A59" s="7" t="n">
        <v>58</v>
      </c>
      <c r="B59" s="7" t="s">
        <v>33</v>
      </c>
      <c r="C59" s="7" t="s">
        <v>134</v>
      </c>
      <c r="D59" s="7" t="s">
        <v>208</v>
      </c>
      <c r="E59" s="8" t="s">
        <v>211</v>
      </c>
      <c r="F59" s="9" t="s">
        <v>212</v>
      </c>
      <c r="G59" s="8" t="s">
        <v>212</v>
      </c>
      <c r="H59" s="9"/>
      <c r="I59" s="9"/>
      <c r="J59" s="10"/>
      <c r="K59" s="10"/>
      <c r="L59" s="10"/>
      <c r="M59" s="11" t="str">
        <f aca="false">IF(COUNTA(J59:L59)&lt;3,"",IF(COUNTIF(J59:L59,"유지")=3,"채택","제외"))</f>
        <v/>
      </c>
      <c r="N59" s="12"/>
    </row>
    <row r="60" customFormat="false" ht="15" hidden="false" customHeight="false" outlineLevel="0" collapsed="false">
      <c r="A60" s="7" t="n">
        <v>59</v>
      </c>
      <c r="B60" s="7" t="s">
        <v>33</v>
      </c>
      <c r="C60" s="7" t="s">
        <v>134</v>
      </c>
      <c r="D60" s="7" t="s">
        <v>213</v>
      </c>
      <c r="E60" s="8" t="s">
        <v>214</v>
      </c>
      <c r="F60" s="9" t="s">
        <v>215</v>
      </c>
      <c r="G60" s="8" t="s">
        <v>215</v>
      </c>
      <c r="H60" s="9"/>
      <c r="I60" s="9"/>
      <c r="J60" s="10"/>
      <c r="K60" s="10"/>
      <c r="L60" s="10"/>
      <c r="M60" s="11" t="str">
        <f aca="false">IF(COUNTA(J60:L60)&lt;3,"",IF(COUNTIF(J60:L60,"유지")=3,"채택","제외"))</f>
        <v/>
      </c>
      <c r="N60" s="12"/>
    </row>
    <row r="61" customFormat="false" ht="15" hidden="false" customHeight="false" outlineLevel="0" collapsed="false">
      <c r="A61" s="7" t="n">
        <v>60</v>
      </c>
      <c r="B61" s="7" t="s">
        <v>33</v>
      </c>
      <c r="C61" s="7" t="s">
        <v>134</v>
      </c>
      <c r="D61" s="7" t="s">
        <v>213</v>
      </c>
      <c r="E61" s="8" t="s">
        <v>216</v>
      </c>
      <c r="F61" s="9" t="s">
        <v>217</v>
      </c>
      <c r="G61" s="8" t="s">
        <v>217</v>
      </c>
      <c r="H61" s="13" t="s">
        <v>74</v>
      </c>
      <c r="I61" s="14"/>
      <c r="J61" s="10"/>
      <c r="K61" s="10"/>
      <c r="L61" s="10"/>
      <c r="M61" s="11" t="str">
        <f aca="false">IF(COUNTA(J61:L61)&lt;3,"",IF(COUNTIF(J61:L61,"유지")=3,"채택","제외"))</f>
        <v/>
      </c>
      <c r="N61" s="12"/>
    </row>
    <row r="62" customFormat="false" ht="15" hidden="false" customHeight="false" outlineLevel="0" collapsed="false">
      <c r="A62" s="7" t="n">
        <v>61</v>
      </c>
      <c r="B62" s="7" t="s">
        <v>33</v>
      </c>
      <c r="C62" s="7" t="s">
        <v>218</v>
      </c>
      <c r="D62" s="7" t="s">
        <v>218</v>
      </c>
      <c r="E62" s="8" t="s">
        <v>219</v>
      </c>
      <c r="F62" s="9" t="s">
        <v>220</v>
      </c>
      <c r="G62" s="8" t="s">
        <v>220</v>
      </c>
      <c r="H62" s="13" t="s">
        <v>87</v>
      </c>
      <c r="I62" s="14" t="s">
        <v>221</v>
      </c>
      <c r="J62" s="10"/>
      <c r="K62" s="10"/>
      <c r="L62" s="10"/>
      <c r="M62" s="11" t="str">
        <f aca="false">IF(COUNTA(J62:L62)&lt;3,"",IF(COUNTIF(J62:L62,"유지")=3,"채택","제외"))</f>
        <v/>
      </c>
      <c r="N62" s="12"/>
    </row>
    <row r="63" customFormat="false" ht="15" hidden="false" customHeight="false" outlineLevel="0" collapsed="false">
      <c r="A63" s="7" t="n">
        <v>62</v>
      </c>
      <c r="B63" s="7" t="s">
        <v>33</v>
      </c>
      <c r="C63" s="7" t="s">
        <v>218</v>
      </c>
      <c r="D63" s="7" t="s">
        <v>222</v>
      </c>
      <c r="E63" s="8" t="s">
        <v>223</v>
      </c>
      <c r="F63" s="9" t="s">
        <v>224</v>
      </c>
      <c r="G63" s="8" t="s">
        <v>224</v>
      </c>
      <c r="H63" s="9"/>
      <c r="I63" s="9"/>
      <c r="J63" s="10"/>
      <c r="K63" s="10"/>
      <c r="L63" s="10"/>
      <c r="M63" s="11" t="str">
        <f aca="false">IF(COUNTA(J63:L63)&lt;3,"",IF(COUNTIF(J63:L63,"유지")=3,"채택","제외"))</f>
        <v/>
      </c>
      <c r="N63" s="12"/>
    </row>
    <row r="64" customFormat="false" ht="15" hidden="false" customHeight="false" outlineLevel="0" collapsed="false">
      <c r="A64" s="7" t="n">
        <v>63</v>
      </c>
      <c r="B64" s="7" t="s">
        <v>33</v>
      </c>
      <c r="C64" s="7" t="s">
        <v>218</v>
      </c>
      <c r="D64" s="7" t="s">
        <v>225</v>
      </c>
      <c r="E64" s="8" t="s">
        <v>226</v>
      </c>
      <c r="F64" s="9" t="s">
        <v>227</v>
      </c>
      <c r="G64" s="8" t="s">
        <v>227</v>
      </c>
      <c r="H64" s="9"/>
      <c r="I64" s="9"/>
      <c r="J64" s="10"/>
      <c r="K64" s="10"/>
      <c r="L64" s="10"/>
      <c r="M64" s="11" t="str">
        <f aca="false">IF(COUNTA(J64:L64)&lt;3,"",IF(COUNTIF(J64:L64,"유지")=3,"채택","제외"))</f>
        <v/>
      </c>
      <c r="N64" s="12"/>
    </row>
    <row r="65" customFormat="false" ht="15" hidden="false" customHeight="false" outlineLevel="0" collapsed="false">
      <c r="A65" s="7" t="n">
        <v>64</v>
      </c>
      <c r="B65" s="7" t="s">
        <v>33</v>
      </c>
      <c r="C65" s="7" t="s">
        <v>218</v>
      </c>
      <c r="D65" s="7" t="s">
        <v>228</v>
      </c>
      <c r="E65" s="8" t="s">
        <v>229</v>
      </c>
      <c r="F65" s="9" t="s">
        <v>230</v>
      </c>
      <c r="G65" s="8" t="s">
        <v>230</v>
      </c>
      <c r="H65" s="9"/>
      <c r="I65" s="9"/>
      <c r="J65" s="10"/>
      <c r="K65" s="10"/>
      <c r="L65" s="10"/>
      <c r="M65" s="11" t="str">
        <f aca="false">IF(COUNTA(J65:L65)&lt;3,"",IF(COUNTIF(J65:L65,"유지")=3,"채택","제외"))</f>
        <v/>
      </c>
      <c r="N65" s="12"/>
    </row>
    <row r="66" customFormat="false" ht="15" hidden="false" customHeight="false" outlineLevel="0" collapsed="false">
      <c r="A66" s="7" t="n">
        <v>65</v>
      </c>
      <c r="B66" s="7" t="s">
        <v>33</v>
      </c>
      <c r="C66" s="7" t="s">
        <v>218</v>
      </c>
      <c r="D66" s="7" t="s">
        <v>231</v>
      </c>
      <c r="E66" s="8" t="s">
        <v>232</v>
      </c>
      <c r="F66" s="9" t="s">
        <v>233</v>
      </c>
      <c r="G66" s="8" t="s">
        <v>233</v>
      </c>
      <c r="H66" s="13" t="s">
        <v>87</v>
      </c>
      <c r="I66" s="14" t="s">
        <v>234</v>
      </c>
      <c r="J66" s="10"/>
      <c r="K66" s="10"/>
      <c r="L66" s="10"/>
      <c r="M66" s="11" t="str">
        <f aca="false">IF(COUNTA(J66:L66)&lt;3,"",IF(COUNTIF(J66:L66,"유지")=3,"채택","제외"))</f>
        <v/>
      </c>
      <c r="N66" s="12"/>
    </row>
    <row r="67" customFormat="false" ht="15" hidden="false" customHeight="false" outlineLevel="0" collapsed="false">
      <c r="A67" s="7" t="n">
        <v>66</v>
      </c>
      <c r="B67" s="7" t="s">
        <v>33</v>
      </c>
      <c r="C67" s="7" t="s">
        <v>218</v>
      </c>
      <c r="D67" s="7" t="s">
        <v>235</v>
      </c>
      <c r="E67" s="8" t="s">
        <v>236</v>
      </c>
      <c r="F67" s="9" t="s">
        <v>237</v>
      </c>
      <c r="G67" s="8" t="s">
        <v>237</v>
      </c>
      <c r="H67" s="13" t="s">
        <v>74</v>
      </c>
      <c r="I67" s="14"/>
      <c r="J67" s="10"/>
      <c r="K67" s="10"/>
      <c r="L67" s="10"/>
      <c r="M67" s="11" t="str">
        <f aca="false">IF(COUNTA(J67:L67)&lt;3,"",IF(COUNTIF(J67:L67,"유지")=3,"채택","제외"))</f>
        <v/>
      </c>
      <c r="N67" s="12"/>
    </row>
    <row r="68" customFormat="false" ht="15" hidden="false" customHeight="false" outlineLevel="0" collapsed="false">
      <c r="A68" s="7" t="n">
        <v>67</v>
      </c>
      <c r="B68" s="7" t="s">
        <v>33</v>
      </c>
      <c r="C68" s="7" t="s">
        <v>218</v>
      </c>
      <c r="D68" s="7" t="s">
        <v>238</v>
      </c>
      <c r="E68" s="8" t="s">
        <v>239</v>
      </c>
      <c r="F68" s="9" t="s">
        <v>240</v>
      </c>
      <c r="G68" s="8" t="s">
        <v>240</v>
      </c>
      <c r="H68" s="9"/>
      <c r="I68" s="9"/>
      <c r="J68" s="10"/>
      <c r="K68" s="10"/>
      <c r="L68" s="10"/>
      <c r="M68" s="11" t="str">
        <f aca="false">IF(COUNTA(J68:L68)&lt;3,"",IF(COUNTIF(J68:L68,"유지")=3,"채택","제외"))</f>
        <v/>
      </c>
      <c r="N68" s="12"/>
    </row>
    <row r="69" customFormat="false" ht="15" hidden="false" customHeight="false" outlineLevel="0" collapsed="false">
      <c r="A69" s="7" t="n">
        <v>68</v>
      </c>
      <c r="B69" s="7" t="s">
        <v>33</v>
      </c>
      <c r="C69" s="7" t="s">
        <v>218</v>
      </c>
      <c r="D69" s="7" t="s">
        <v>241</v>
      </c>
      <c r="E69" s="8" t="s">
        <v>242</v>
      </c>
      <c r="F69" s="9" t="s">
        <v>243</v>
      </c>
      <c r="G69" s="8" t="s">
        <v>243</v>
      </c>
      <c r="H69" s="9"/>
      <c r="I69" s="9"/>
      <c r="J69" s="10"/>
      <c r="K69" s="10"/>
      <c r="L69" s="10"/>
      <c r="M69" s="11" t="str">
        <f aca="false">IF(COUNTA(J69:L69)&lt;3,"",IF(COUNTIF(J69:L69,"유지")=3,"채택","제외"))</f>
        <v/>
      </c>
      <c r="N69" s="12"/>
    </row>
    <row r="70" customFormat="false" ht="15" hidden="false" customHeight="false" outlineLevel="0" collapsed="false">
      <c r="A70" s="7" t="n">
        <v>69</v>
      </c>
      <c r="B70" s="7" t="s">
        <v>33</v>
      </c>
      <c r="C70" s="7" t="s">
        <v>218</v>
      </c>
      <c r="D70" s="7" t="s">
        <v>244</v>
      </c>
      <c r="E70" s="8" t="s">
        <v>245</v>
      </c>
      <c r="F70" s="9" t="s">
        <v>246</v>
      </c>
      <c r="G70" s="8" t="s">
        <v>246</v>
      </c>
      <c r="H70" s="13" t="s">
        <v>87</v>
      </c>
      <c r="I70" s="13" t="s">
        <v>247</v>
      </c>
      <c r="J70" s="10"/>
      <c r="K70" s="10"/>
      <c r="L70" s="10"/>
      <c r="M70" s="11" t="str">
        <f aca="false">IF(COUNTA(J70:L70)&lt;3,"",IF(COUNTIF(J70:L70,"유지")=3,"채택","제외"))</f>
        <v/>
      </c>
      <c r="N70" s="12"/>
    </row>
    <row r="71" customFormat="false" ht="15" hidden="false" customHeight="false" outlineLevel="0" collapsed="false">
      <c r="A71" s="7" t="n">
        <v>70</v>
      </c>
      <c r="B71" s="7" t="s">
        <v>33</v>
      </c>
      <c r="C71" s="7" t="s">
        <v>218</v>
      </c>
      <c r="D71" s="7" t="s">
        <v>244</v>
      </c>
      <c r="E71" s="8" t="s">
        <v>248</v>
      </c>
      <c r="F71" s="9" t="s">
        <v>249</v>
      </c>
      <c r="G71" s="8" t="s">
        <v>249</v>
      </c>
      <c r="H71" s="9"/>
      <c r="I71" s="9"/>
      <c r="J71" s="10"/>
      <c r="K71" s="10"/>
      <c r="L71" s="10"/>
      <c r="M71" s="11" t="str">
        <f aca="false">IF(COUNTA(J71:L71)&lt;3,"",IF(COUNTIF(J71:L71,"유지")=3,"채택","제외"))</f>
        <v/>
      </c>
      <c r="N71" s="12"/>
    </row>
    <row r="72" customFormat="false" ht="15" hidden="false" customHeight="false" outlineLevel="0" collapsed="false">
      <c r="A72" s="7" t="n">
        <v>71</v>
      </c>
      <c r="B72" s="7" t="s">
        <v>33</v>
      </c>
      <c r="C72" s="7" t="s">
        <v>218</v>
      </c>
      <c r="D72" s="7" t="s">
        <v>250</v>
      </c>
      <c r="E72" s="8" t="s">
        <v>251</v>
      </c>
      <c r="F72" s="9" t="s">
        <v>252</v>
      </c>
      <c r="G72" s="8" t="s">
        <v>252</v>
      </c>
      <c r="H72" s="9"/>
      <c r="I72" s="9"/>
      <c r="J72" s="10"/>
      <c r="K72" s="10"/>
      <c r="L72" s="10"/>
      <c r="M72" s="11" t="str">
        <f aca="false">IF(COUNTA(J72:L72)&lt;3,"",IF(COUNTIF(J72:L72,"유지")=3,"채택","제외"))</f>
        <v/>
      </c>
      <c r="N72" s="12"/>
    </row>
    <row r="73" customFormat="false" ht="15" hidden="false" customHeight="false" outlineLevel="0" collapsed="false">
      <c r="A73" s="7" t="n">
        <v>72</v>
      </c>
      <c r="B73" s="7" t="s">
        <v>33</v>
      </c>
      <c r="C73" s="7" t="s">
        <v>218</v>
      </c>
      <c r="D73" s="7" t="s">
        <v>253</v>
      </c>
      <c r="E73" s="8" t="s">
        <v>254</v>
      </c>
      <c r="F73" s="9" t="s">
        <v>255</v>
      </c>
      <c r="G73" s="8" t="s">
        <v>255</v>
      </c>
      <c r="H73" s="9"/>
      <c r="I73" s="9"/>
      <c r="J73" s="10"/>
      <c r="K73" s="10"/>
      <c r="L73" s="10"/>
      <c r="M73" s="11" t="str">
        <f aca="false">IF(COUNTA(J73:L73)&lt;3,"",IF(COUNTIF(J73:L73,"유지")=3,"채택","제외"))</f>
        <v/>
      </c>
      <c r="N73" s="12"/>
    </row>
    <row r="74" customFormat="false" ht="15" hidden="false" customHeight="false" outlineLevel="0" collapsed="false">
      <c r="A74" s="7" t="n">
        <v>73</v>
      </c>
      <c r="B74" s="7" t="s">
        <v>33</v>
      </c>
      <c r="C74" s="7" t="s">
        <v>218</v>
      </c>
      <c r="D74" s="7" t="s">
        <v>256</v>
      </c>
      <c r="E74" s="8" t="s">
        <v>257</v>
      </c>
      <c r="F74" s="9" t="s">
        <v>258</v>
      </c>
      <c r="G74" s="8" t="s">
        <v>258</v>
      </c>
      <c r="H74" s="9"/>
      <c r="I74" s="9"/>
      <c r="J74" s="10"/>
      <c r="K74" s="10"/>
      <c r="L74" s="10"/>
      <c r="M74" s="11" t="str">
        <f aca="false">IF(COUNTA(J74:L74)&lt;3,"",IF(COUNTIF(J74:L74,"유지")=3,"채택","제외"))</f>
        <v/>
      </c>
      <c r="N74" s="12"/>
    </row>
    <row r="75" customFormat="false" ht="15" hidden="false" customHeight="false" outlineLevel="0" collapsed="false">
      <c r="A75" s="7" t="n">
        <v>74</v>
      </c>
      <c r="B75" s="7" t="s">
        <v>33</v>
      </c>
      <c r="C75" s="7" t="s">
        <v>218</v>
      </c>
      <c r="D75" s="7" t="s">
        <v>259</v>
      </c>
      <c r="E75" s="8" t="s">
        <v>260</v>
      </c>
      <c r="F75" s="9" t="s">
        <v>261</v>
      </c>
      <c r="G75" s="8" t="s">
        <v>261</v>
      </c>
      <c r="H75" s="9"/>
      <c r="I75" s="9"/>
      <c r="J75" s="10"/>
      <c r="K75" s="10"/>
      <c r="L75" s="10"/>
      <c r="M75" s="11" t="str">
        <f aca="false">IF(COUNTA(J75:L75)&lt;3,"",IF(COUNTIF(J75:L75,"유지")=3,"채택","제외"))</f>
        <v/>
      </c>
      <c r="N75" s="12"/>
    </row>
    <row r="76" customFormat="false" ht="15" hidden="false" customHeight="false" outlineLevel="0" collapsed="false">
      <c r="A76" s="7" t="n">
        <v>75</v>
      </c>
      <c r="B76" s="7" t="s">
        <v>33</v>
      </c>
      <c r="C76" s="7" t="s">
        <v>218</v>
      </c>
      <c r="D76" s="7" t="s">
        <v>262</v>
      </c>
      <c r="E76" s="8" t="s">
        <v>263</v>
      </c>
      <c r="F76" s="9" t="s">
        <v>264</v>
      </c>
      <c r="G76" s="8" t="s">
        <v>264</v>
      </c>
      <c r="H76" s="9"/>
      <c r="I76" s="9"/>
      <c r="J76" s="10"/>
      <c r="K76" s="10"/>
      <c r="L76" s="10"/>
      <c r="M76" s="11" t="str">
        <f aca="false">IF(COUNTA(J76:L76)&lt;3,"",IF(COUNTIF(J76:L76,"유지")=3,"채택","제외"))</f>
        <v/>
      </c>
      <c r="N76" s="12"/>
    </row>
    <row r="77" customFormat="false" ht="15" hidden="false" customHeight="false" outlineLevel="0" collapsed="false">
      <c r="A77" s="7" t="n">
        <v>76</v>
      </c>
      <c r="B77" s="7" t="s">
        <v>33</v>
      </c>
      <c r="C77" s="7" t="s">
        <v>218</v>
      </c>
      <c r="D77" s="7" t="s">
        <v>265</v>
      </c>
      <c r="E77" s="8" t="s">
        <v>266</v>
      </c>
      <c r="F77" s="9" t="s">
        <v>267</v>
      </c>
      <c r="G77" s="8" t="s">
        <v>267</v>
      </c>
      <c r="H77" s="9"/>
      <c r="I77" s="9"/>
      <c r="J77" s="10"/>
      <c r="K77" s="10"/>
      <c r="L77" s="10"/>
      <c r="M77" s="11" t="str">
        <f aca="false">IF(COUNTA(J77:L77)&lt;3,"",IF(COUNTIF(J77:L77,"유지")=3,"채택","제외"))</f>
        <v/>
      </c>
      <c r="N77" s="12"/>
    </row>
    <row r="78" customFormat="false" ht="15" hidden="false" customHeight="false" outlineLevel="0" collapsed="false">
      <c r="A78" s="7" t="n">
        <v>77</v>
      </c>
      <c r="B78" s="7" t="s">
        <v>33</v>
      </c>
      <c r="C78" s="7" t="s">
        <v>218</v>
      </c>
      <c r="D78" s="7" t="s">
        <v>268</v>
      </c>
      <c r="E78" s="8" t="s">
        <v>269</v>
      </c>
      <c r="F78" s="9" t="s">
        <v>270</v>
      </c>
      <c r="G78" s="8" t="s">
        <v>270</v>
      </c>
      <c r="H78" s="9"/>
      <c r="I78" s="9"/>
      <c r="J78" s="10"/>
      <c r="K78" s="10"/>
      <c r="L78" s="10"/>
      <c r="M78" s="11" t="str">
        <f aca="false">IF(COUNTA(J78:L78)&lt;3,"",IF(COUNTIF(J78:L78,"유지")=3,"채택","제외"))</f>
        <v/>
      </c>
      <c r="N78" s="12"/>
    </row>
    <row r="79" customFormat="false" ht="15" hidden="false" customHeight="false" outlineLevel="0" collapsed="false">
      <c r="A79" s="7" t="n">
        <v>78</v>
      </c>
      <c r="B79" s="7" t="s">
        <v>33</v>
      </c>
      <c r="C79" s="7" t="s">
        <v>218</v>
      </c>
      <c r="D79" s="7" t="s">
        <v>271</v>
      </c>
      <c r="E79" s="8" t="s">
        <v>272</v>
      </c>
      <c r="F79" s="9" t="s">
        <v>273</v>
      </c>
      <c r="G79" s="8" t="s">
        <v>273</v>
      </c>
      <c r="H79" s="9"/>
      <c r="I79" s="9"/>
      <c r="J79" s="10"/>
      <c r="K79" s="10"/>
      <c r="L79" s="10"/>
      <c r="M79" s="11" t="str">
        <f aca="false">IF(COUNTA(J79:L79)&lt;3,"",IF(COUNTIF(J79:L79,"유지")=3,"채택","제외"))</f>
        <v/>
      </c>
      <c r="N79" s="12"/>
    </row>
    <row r="80" customFormat="false" ht="15" hidden="false" customHeight="false" outlineLevel="0" collapsed="false">
      <c r="A80" s="7" t="n">
        <v>79</v>
      </c>
      <c r="B80" s="7" t="s">
        <v>33</v>
      </c>
      <c r="C80" s="7" t="s">
        <v>218</v>
      </c>
      <c r="D80" s="7" t="s">
        <v>271</v>
      </c>
      <c r="E80" s="8" t="s">
        <v>274</v>
      </c>
      <c r="F80" s="9" t="s">
        <v>275</v>
      </c>
      <c r="G80" s="8" t="s">
        <v>275</v>
      </c>
      <c r="H80" s="9"/>
      <c r="I80" s="9"/>
      <c r="J80" s="10"/>
      <c r="K80" s="10"/>
      <c r="L80" s="10"/>
      <c r="M80" s="11" t="str">
        <f aca="false">IF(COUNTA(J80:L80)&lt;3,"",IF(COUNTIF(J80:L80,"유지")=3,"채택","제외"))</f>
        <v/>
      </c>
      <c r="N80" s="12"/>
    </row>
    <row r="81" customFormat="false" ht="15" hidden="false" customHeight="false" outlineLevel="0" collapsed="false">
      <c r="A81" s="7" t="n">
        <v>80</v>
      </c>
      <c r="B81" s="7" t="s">
        <v>33</v>
      </c>
      <c r="C81" s="7" t="s">
        <v>218</v>
      </c>
      <c r="D81" s="7" t="s">
        <v>276</v>
      </c>
      <c r="E81" s="8" t="s">
        <v>277</v>
      </c>
      <c r="F81" s="9" t="s">
        <v>278</v>
      </c>
      <c r="G81" s="8" t="s">
        <v>278</v>
      </c>
      <c r="H81" s="9"/>
      <c r="I81" s="9"/>
      <c r="J81" s="10"/>
      <c r="K81" s="10"/>
      <c r="L81" s="10"/>
      <c r="M81" s="11" t="str">
        <f aca="false">IF(COUNTA(J81:L81)&lt;3,"",IF(COUNTIF(J81:L81,"유지")=3,"채택","제외"))</f>
        <v/>
      </c>
      <c r="N81" s="12"/>
    </row>
    <row r="82" customFormat="false" ht="15" hidden="false" customHeight="false" outlineLevel="0" collapsed="false">
      <c r="A82" s="7" t="n">
        <v>81</v>
      </c>
      <c r="B82" s="7" t="s">
        <v>33</v>
      </c>
      <c r="C82" s="7" t="s">
        <v>218</v>
      </c>
      <c r="D82" s="7" t="s">
        <v>279</v>
      </c>
      <c r="E82" s="8" t="s">
        <v>106</v>
      </c>
      <c r="F82" s="9" t="s">
        <v>107</v>
      </c>
      <c r="G82" s="8" t="s">
        <v>107</v>
      </c>
      <c r="H82" s="13" t="s">
        <v>87</v>
      </c>
      <c r="I82" s="14"/>
      <c r="J82" s="10"/>
      <c r="K82" s="10"/>
      <c r="L82" s="10"/>
      <c r="M82" s="11" t="str">
        <f aca="false">IF(COUNTA(J82:L82)&lt;3,"",IF(COUNTIF(J82:L82,"유지")=3,"채택","제외"))</f>
        <v/>
      </c>
      <c r="N82" s="12"/>
    </row>
    <row r="83" customFormat="false" ht="15" hidden="false" customHeight="false" outlineLevel="0" collapsed="false">
      <c r="A83" s="7" t="n">
        <v>82</v>
      </c>
      <c r="B83" s="7" t="s">
        <v>33</v>
      </c>
      <c r="C83" s="7" t="s">
        <v>218</v>
      </c>
      <c r="D83" s="7" t="s">
        <v>280</v>
      </c>
      <c r="E83" s="8" t="s">
        <v>219</v>
      </c>
      <c r="F83" s="9" t="s">
        <v>220</v>
      </c>
      <c r="G83" s="8" t="s">
        <v>220</v>
      </c>
      <c r="H83" s="13" t="s">
        <v>87</v>
      </c>
      <c r="I83" s="14" t="s">
        <v>221</v>
      </c>
      <c r="J83" s="10"/>
      <c r="K83" s="10"/>
      <c r="L83" s="10"/>
      <c r="M83" s="11" t="str">
        <f aca="false">IF(COUNTA(J83:L83)&lt;3,"",IF(COUNTIF(J83:L83,"유지")=3,"채택","제외"))</f>
        <v/>
      </c>
      <c r="N83" s="12"/>
    </row>
    <row r="84" customFormat="false" ht="15" hidden="false" customHeight="false" outlineLevel="0" collapsed="false">
      <c r="A84" s="7" t="n">
        <v>83</v>
      </c>
      <c r="B84" s="7" t="s">
        <v>33</v>
      </c>
      <c r="C84" s="7" t="s">
        <v>281</v>
      </c>
      <c r="D84" s="7" t="s">
        <v>281</v>
      </c>
      <c r="E84" s="8" t="s">
        <v>282</v>
      </c>
      <c r="F84" s="9" t="s">
        <v>283</v>
      </c>
      <c r="G84" s="8" t="s">
        <v>143</v>
      </c>
      <c r="H84" s="13" t="s">
        <v>87</v>
      </c>
      <c r="I84" s="14"/>
      <c r="J84" s="10"/>
      <c r="K84" s="10"/>
      <c r="L84" s="10"/>
      <c r="M84" s="11" t="str">
        <f aca="false">IF(COUNTA(J84:L84)&lt;3,"",IF(COUNTIF(J84:L84,"유지")=3,"채택","제외"))</f>
        <v/>
      </c>
      <c r="N84" s="12"/>
    </row>
    <row r="85" customFormat="false" ht="15" hidden="false" customHeight="false" outlineLevel="0" collapsed="false">
      <c r="A85" s="7" t="n">
        <v>84</v>
      </c>
      <c r="B85" s="7" t="s">
        <v>33</v>
      </c>
      <c r="C85" s="7" t="s">
        <v>281</v>
      </c>
      <c r="D85" s="7" t="s">
        <v>284</v>
      </c>
      <c r="E85" s="8" t="s">
        <v>285</v>
      </c>
      <c r="F85" s="9" t="s">
        <v>286</v>
      </c>
      <c r="G85" s="8" t="s">
        <v>286</v>
      </c>
      <c r="H85" s="9"/>
      <c r="I85" s="9"/>
      <c r="J85" s="10"/>
      <c r="K85" s="10"/>
      <c r="L85" s="10"/>
      <c r="M85" s="11" t="str">
        <f aca="false">IF(COUNTA(J85:L85)&lt;3,"",IF(COUNTIF(J85:L85,"유지")=3,"채택","제외"))</f>
        <v/>
      </c>
      <c r="N85" s="12"/>
    </row>
    <row r="86" customFormat="false" ht="15" hidden="false" customHeight="false" outlineLevel="0" collapsed="false">
      <c r="A86" s="7" t="n">
        <v>85</v>
      </c>
      <c r="B86" s="7" t="s">
        <v>33</v>
      </c>
      <c r="C86" s="7" t="s">
        <v>281</v>
      </c>
      <c r="D86" s="7" t="s">
        <v>287</v>
      </c>
      <c r="E86" s="8" t="s">
        <v>209</v>
      </c>
      <c r="F86" s="9" t="s">
        <v>210</v>
      </c>
      <c r="G86" s="8" t="s">
        <v>210</v>
      </c>
      <c r="H86" s="13" t="s">
        <v>87</v>
      </c>
      <c r="I86" s="14"/>
      <c r="J86" s="10"/>
      <c r="K86" s="10"/>
      <c r="L86" s="10"/>
      <c r="M86" s="11" t="str">
        <f aca="false">IF(COUNTA(J86:L86)&lt;3,"",IF(COUNTIF(J86:L86,"유지")=3,"채택","제외"))</f>
        <v/>
      </c>
      <c r="N86" s="12"/>
    </row>
    <row r="87" customFormat="false" ht="15" hidden="false" customHeight="false" outlineLevel="0" collapsed="false">
      <c r="A87" s="7" t="n">
        <v>86</v>
      </c>
      <c r="B87" s="7" t="s">
        <v>33</v>
      </c>
      <c r="C87" s="7" t="s">
        <v>281</v>
      </c>
      <c r="D87" s="7" t="s">
        <v>288</v>
      </c>
      <c r="E87" s="8" t="s">
        <v>289</v>
      </c>
      <c r="F87" s="9" t="s">
        <v>290</v>
      </c>
      <c r="G87" s="8" t="s">
        <v>290</v>
      </c>
      <c r="H87" s="9"/>
      <c r="I87" s="9"/>
      <c r="J87" s="10"/>
      <c r="K87" s="10"/>
      <c r="L87" s="10"/>
      <c r="M87" s="11" t="str">
        <f aca="false">IF(COUNTA(J87:L87)&lt;3,"",IF(COUNTIF(J87:L87,"유지")=3,"채택","제외"))</f>
        <v/>
      </c>
      <c r="N87" s="12"/>
    </row>
    <row r="88" customFormat="false" ht="15" hidden="false" customHeight="false" outlineLevel="0" collapsed="false">
      <c r="A88" s="7" t="n">
        <v>87</v>
      </c>
      <c r="B88" s="7" t="s">
        <v>33</v>
      </c>
      <c r="C88" s="7" t="s">
        <v>281</v>
      </c>
      <c r="D88" s="7" t="s">
        <v>291</v>
      </c>
      <c r="E88" s="8" t="s">
        <v>292</v>
      </c>
      <c r="F88" s="9" t="s">
        <v>293</v>
      </c>
      <c r="G88" s="8" t="s">
        <v>293</v>
      </c>
      <c r="H88" s="9"/>
      <c r="I88" s="9"/>
      <c r="J88" s="10"/>
      <c r="K88" s="10"/>
      <c r="L88" s="10"/>
      <c r="M88" s="11" t="str">
        <f aca="false">IF(COUNTA(J88:L88)&lt;3,"",IF(COUNTIF(J88:L88,"유지")=3,"채택","제외"))</f>
        <v/>
      </c>
      <c r="N88" s="12"/>
    </row>
    <row r="89" customFormat="false" ht="15" hidden="false" customHeight="false" outlineLevel="0" collapsed="false">
      <c r="A89" s="7" t="n">
        <v>88</v>
      </c>
      <c r="B89" s="7" t="s">
        <v>33</v>
      </c>
      <c r="C89" s="7" t="s">
        <v>281</v>
      </c>
      <c r="D89" s="7" t="s">
        <v>294</v>
      </c>
      <c r="E89" s="8" t="s">
        <v>295</v>
      </c>
      <c r="F89" s="9" t="s">
        <v>296</v>
      </c>
      <c r="G89" s="8" t="s">
        <v>296</v>
      </c>
      <c r="H89" s="9"/>
      <c r="I89" s="9"/>
      <c r="J89" s="10"/>
      <c r="K89" s="10"/>
      <c r="L89" s="10"/>
      <c r="M89" s="11" t="str">
        <f aca="false">IF(COUNTA(J89:L89)&lt;3,"",IF(COUNTIF(J89:L89,"유지")=3,"채택","제외"))</f>
        <v/>
      </c>
      <c r="N89" s="12"/>
    </row>
    <row r="90" customFormat="false" ht="15" hidden="false" customHeight="false" outlineLevel="0" collapsed="false">
      <c r="A90" s="7" t="n">
        <v>89</v>
      </c>
      <c r="B90" s="7" t="s">
        <v>33</v>
      </c>
      <c r="C90" s="7" t="s">
        <v>281</v>
      </c>
      <c r="D90" s="7" t="s">
        <v>297</v>
      </c>
      <c r="E90" s="8" t="s">
        <v>298</v>
      </c>
      <c r="F90" s="9" t="s">
        <v>299</v>
      </c>
      <c r="G90" s="8" t="s">
        <v>299</v>
      </c>
      <c r="H90" s="9"/>
      <c r="I90" s="9"/>
      <c r="J90" s="10"/>
      <c r="K90" s="10"/>
      <c r="L90" s="10"/>
      <c r="M90" s="11" t="str">
        <f aca="false">IF(COUNTA(J90:L90)&lt;3,"",IF(COUNTIF(J90:L90,"유지")=3,"채택","제외"))</f>
        <v/>
      </c>
      <c r="N90" s="12"/>
    </row>
    <row r="91" customFormat="false" ht="15" hidden="false" customHeight="false" outlineLevel="0" collapsed="false">
      <c r="A91" s="7" t="n">
        <v>90</v>
      </c>
      <c r="B91" s="7" t="s">
        <v>33</v>
      </c>
      <c r="C91" s="7" t="s">
        <v>281</v>
      </c>
      <c r="D91" s="7" t="s">
        <v>300</v>
      </c>
      <c r="E91" s="8" t="s">
        <v>301</v>
      </c>
      <c r="F91" s="9" t="s">
        <v>302</v>
      </c>
      <c r="G91" s="8" t="s">
        <v>302</v>
      </c>
      <c r="H91" s="9"/>
      <c r="I91" s="9"/>
      <c r="J91" s="10"/>
      <c r="K91" s="10"/>
      <c r="L91" s="10"/>
      <c r="M91" s="11" t="str">
        <f aca="false">IF(COUNTA(J91:L91)&lt;3,"",IF(COUNTIF(J91:L91,"유지")=3,"채택","제외"))</f>
        <v/>
      </c>
      <c r="N91" s="12"/>
    </row>
    <row r="92" customFormat="false" ht="15" hidden="false" customHeight="false" outlineLevel="0" collapsed="false">
      <c r="A92" s="7" t="n">
        <v>91</v>
      </c>
      <c r="B92" s="7" t="s">
        <v>33</v>
      </c>
      <c r="C92" s="7" t="s">
        <v>281</v>
      </c>
      <c r="D92" s="7" t="s">
        <v>303</v>
      </c>
      <c r="E92" s="8" t="s">
        <v>304</v>
      </c>
      <c r="F92" s="9" t="s">
        <v>305</v>
      </c>
      <c r="G92" s="8" t="s">
        <v>305</v>
      </c>
      <c r="H92" s="13" t="s">
        <v>87</v>
      </c>
      <c r="I92" s="14"/>
      <c r="J92" s="10"/>
      <c r="K92" s="10"/>
      <c r="L92" s="10"/>
      <c r="M92" s="11" t="str">
        <f aca="false">IF(COUNTA(J92:L92)&lt;3,"",IF(COUNTIF(J92:L92,"유지")=3,"채택","제외"))</f>
        <v/>
      </c>
      <c r="N92" s="12"/>
    </row>
    <row r="93" customFormat="false" ht="15" hidden="false" customHeight="false" outlineLevel="0" collapsed="false">
      <c r="A93" s="7" t="n">
        <v>92</v>
      </c>
      <c r="B93" s="7" t="s">
        <v>33</v>
      </c>
      <c r="C93" s="7" t="s">
        <v>281</v>
      </c>
      <c r="D93" s="7" t="s">
        <v>306</v>
      </c>
      <c r="E93" s="8" t="s">
        <v>307</v>
      </c>
      <c r="F93" s="9" t="s">
        <v>308</v>
      </c>
      <c r="G93" s="8" t="s">
        <v>308</v>
      </c>
      <c r="H93" s="9"/>
      <c r="I93" s="9"/>
      <c r="J93" s="10"/>
      <c r="K93" s="10"/>
      <c r="L93" s="10"/>
      <c r="M93" s="11" t="str">
        <f aca="false">IF(COUNTA(J93:L93)&lt;3,"",IF(COUNTIF(J93:L93,"유지")=3,"채택","제외"))</f>
        <v/>
      </c>
      <c r="N93" s="12"/>
    </row>
    <row r="94" customFormat="false" ht="15" hidden="false" customHeight="false" outlineLevel="0" collapsed="false">
      <c r="A94" s="7" t="n">
        <v>93</v>
      </c>
      <c r="B94" s="7" t="s">
        <v>33</v>
      </c>
      <c r="C94" s="7" t="s">
        <v>281</v>
      </c>
      <c r="D94" s="7" t="s">
        <v>309</v>
      </c>
      <c r="E94" s="8" t="s">
        <v>310</v>
      </c>
      <c r="F94" s="9" t="s">
        <v>311</v>
      </c>
      <c r="G94" s="8" t="s">
        <v>311</v>
      </c>
      <c r="H94" s="9"/>
      <c r="I94" s="9"/>
      <c r="J94" s="10"/>
      <c r="K94" s="10"/>
      <c r="L94" s="10"/>
      <c r="M94" s="11" t="str">
        <f aca="false">IF(COUNTA(J94:L94)&lt;3,"",IF(COUNTIF(J94:L94,"유지")=3,"채택","제외"))</f>
        <v/>
      </c>
      <c r="N94" s="12"/>
    </row>
    <row r="95" customFormat="false" ht="15" hidden="false" customHeight="false" outlineLevel="0" collapsed="false">
      <c r="A95" s="7" t="n">
        <v>94</v>
      </c>
      <c r="B95" s="7" t="s">
        <v>33</v>
      </c>
      <c r="C95" s="7" t="s">
        <v>281</v>
      </c>
      <c r="D95" s="7" t="s">
        <v>312</v>
      </c>
      <c r="E95" s="8" t="s">
        <v>313</v>
      </c>
      <c r="F95" s="9" t="s">
        <v>314</v>
      </c>
      <c r="G95" s="8" t="s">
        <v>314</v>
      </c>
      <c r="H95" s="9"/>
      <c r="I95" s="9"/>
      <c r="J95" s="10"/>
      <c r="K95" s="10"/>
      <c r="L95" s="10"/>
      <c r="M95" s="11" t="str">
        <f aca="false">IF(COUNTA(J95:L95)&lt;3,"",IF(COUNTIF(J95:L95,"유지")=3,"채택","제외"))</f>
        <v/>
      </c>
      <c r="N95" s="12"/>
    </row>
    <row r="96" customFormat="false" ht="15" hidden="false" customHeight="false" outlineLevel="0" collapsed="false">
      <c r="A96" s="7" t="n">
        <v>95</v>
      </c>
      <c r="B96" s="7" t="s">
        <v>33</v>
      </c>
      <c r="C96" s="7" t="s">
        <v>281</v>
      </c>
      <c r="D96" s="7" t="s">
        <v>315</v>
      </c>
      <c r="E96" s="8" t="s">
        <v>316</v>
      </c>
      <c r="F96" s="9" t="s">
        <v>317</v>
      </c>
      <c r="G96" s="8" t="s">
        <v>317</v>
      </c>
      <c r="H96" s="9"/>
      <c r="I96" s="9"/>
      <c r="J96" s="10"/>
      <c r="K96" s="10"/>
      <c r="L96" s="10"/>
      <c r="M96" s="11" t="str">
        <f aca="false">IF(COUNTA(J96:L96)&lt;3,"",IF(COUNTIF(J96:L96,"유지")=3,"채택","제외"))</f>
        <v/>
      </c>
      <c r="N96" s="12"/>
    </row>
    <row r="97" customFormat="false" ht="15" hidden="false" customHeight="false" outlineLevel="0" collapsed="false">
      <c r="A97" s="7" t="n">
        <v>96</v>
      </c>
      <c r="B97" s="7" t="s">
        <v>33</v>
      </c>
      <c r="C97" s="7" t="s">
        <v>281</v>
      </c>
      <c r="D97" s="7" t="s">
        <v>318</v>
      </c>
      <c r="E97" s="8" t="s">
        <v>319</v>
      </c>
      <c r="F97" s="9" t="s">
        <v>320</v>
      </c>
      <c r="G97" s="8" t="s">
        <v>320</v>
      </c>
      <c r="H97" s="9"/>
      <c r="I97" s="9"/>
      <c r="J97" s="10"/>
      <c r="K97" s="10"/>
      <c r="L97" s="10"/>
      <c r="M97" s="11" t="str">
        <f aca="false">IF(COUNTA(J97:L97)&lt;3,"",IF(COUNTIF(J97:L97,"유지")=3,"채택","제외"))</f>
        <v/>
      </c>
      <c r="N97" s="12"/>
    </row>
    <row r="98" customFormat="false" ht="15" hidden="false" customHeight="false" outlineLevel="0" collapsed="false">
      <c r="A98" s="7" t="n">
        <v>97</v>
      </c>
      <c r="B98" s="7" t="s">
        <v>33</v>
      </c>
      <c r="C98" s="7" t="s">
        <v>281</v>
      </c>
      <c r="D98" s="7" t="s">
        <v>321</v>
      </c>
      <c r="E98" s="7" t="s">
        <v>322</v>
      </c>
      <c r="F98" s="15" t="s">
        <v>323</v>
      </c>
      <c r="G98" s="7" t="s">
        <v>324</v>
      </c>
      <c r="H98" s="13" t="s">
        <v>74</v>
      </c>
      <c r="I98" s="14"/>
      <c r="J98" s="10"/>
      <c r="K98" s="10"/>
      <c r="L98" s="10"/>
      <c r="M98" s="11" t="str">
        <f aca="false">IF(COUNTA(J98:L98)&lt;3,"",IF(COUNTIF(J98:L98,"유지")=3,"채택","제외"))</f>
        <v/>
      </c>
      <c r="N98" s="12"/>
    </row>
    <row r="99" customFormat="false" ht="15" hidden="false" customHeight="false" outlineLevel="0" collapsed="false">
      <c r="A99" s="7" t="n">
        <v>98</v>
      </c>
      <c r="B99" s="7" t="s">
        <v>33</v>
      </c>
      <c r="C99" s="7" t="s">
        <v>281</v>
      </c>
      <c r="D99" s="7" t="s">
        <v>325</v>
      </c>
      <c r="E99" s="8" t="s">
        <v>326</v>
      </c>
      <c r="F99" s="9" t="s">
        <v>327</v>
      </c>
      <c r="G99" s="8" t="s">
        <v>327</v>
      </c>
      <c r="H99" s="15"/>
      <c r="I99" s="15"/>
      <c r="J99" s="10"/>
      <c r="K99" s="10"/>
      <c r="L99" s="10"/>
      <c r="M99" s="11" t="str">
        <f aca="false">IF(COUNTA(J99:L99)&lt;3,"",IF(COUNTIF(J99:L99,"유지")=3,"채택","제외"))</f>
        <v/>
      </c>
      <c r="N99" s="12"/>
    </row>
    <row r="100" customFormat="false" ht="15" hidden="false" customHeight="false" outlineLevel="0" collapsed="false">
      <c r="A100" s="7" t="n">
        <v>99</v>
      </c>
      <c r="B100" s="7" t="s">
        <v>33</v>
      </c>
      <c r="C100" s="7" t="s">
        <v>281</v>
      </c>
      <c r="D100" s="7" t="s">
        <v>328</v>
      </c>
      <c r="E100" s="8" t="s">
        <v>329</v>
      </c>
      <c r="F100" s="9" t="s">
        <v>330</v>
      </c>
      <c r="G100" s="8" t="s">
        <v>330</v>
      </c>
      <c r="H100" s="15"/>
      <c r="I100" s="15"/>
      <c r="J100" s="10"/>
      <c r="K100" s="10"/>
      <c r="L100" s="10"/>
      <c r="M100" s="11" t="str">
        <f aca="false">IF(COUNTA(J100:L100)&lt;3,"",IF(COUNTIF(J100:L100,"유지")=3,"채택","제외"))</f>
        <v/>
      </c>
      <c r="N100" s="12"/>
    </row>
    <row r="101" customFormat="false" ht="15" hidden="false" customHeight="false" outlineLevel="0" collapsed="false">
      <c r="A101" s="7" t="n">
        <v>100</v>
      </c>
      <c r="B101" s="7" t="s">
        <v>33</v>
      </c>
      <c r="C101" s="7" t="s">
        <v>281</v>
      </c>
      <c r="D101" s="7" t="s">
        <v>331</v>
      </c>
      <c r="E101" s="8" t="s">
        <v>332</v>
      </c>
      <c r="F101" s="9" t="s">
        <v>333</v>
      </c>
      <c r="G101" s="8" t="s">
        <v>333</v>
      </c>
      <c r="H101" s="15"/>
      <c r="I101" s="15"/>
      <c r="J101" s="10"/>
      <c r="K101" s="10"/>
      <c r="L101" s="10"/>
      <c r="M101" s="11" t="str">
        <f aca="false">IF(COUNTA(J101:L101)&lt;3,"",IF(COUNTIF(J101:L101,"유지")=3,"채택","제외"))</f>
        <v/>
      </c>
      <c r="N101" s="12"/>
    </row>
    <row r="102" customFormat="false" ht="15" hidden="false" customHeight="false" outlineLevel="0" collapsed="false">
      <c r="A102" s="7" t="n">
        <v>101</v>
      </c>
      <c r="B102" s="7" t="s">
        <v>33</v>
      </c>
      <c r="C102" s="7" t="s">
        <v>281</v>
      </c>
      <c r="D102" s="7" t="s">
        <v>334</v>
      </c>
      <c r="E102" s="8" t="s">
        <v>335</v>
      </c>
      <c r="F102" s="9" t="s">
        <v>336</v>
      </c>
      <c r="G102" s="8" t="s">
        <v>336</v>
      </c>
      <c r="H102" s="15"/>
      <c r="I102" s="15"/>
      <c r="J102" s="10"/>
      <c r="K102" s="10"/>
      <c r="L102" s="10"/>
      <c r="M102" s="11" t="str">
        <f aca="false">IF(COUNTA(J102:L102)&lt;3,"",IF(COUNTIF(J102:L102,"유지")=3,"채택","제외"))</f>
        <v/>
      </c>
      <c r="N102" s="12"/>
    </row>
    <row r="103" customFormat="false" ht="15" hidden="false" customHeight="false" outlineLevel="0" collapsed="false">
      <c r="A103" s="7" t="n">
        <v>102</v>
      </c>
      <c r="B103" s="7" t="s">
        <v>33</v>
      </c>
      <c r="C103" s="7" t="s">
        <v>281</v>
      </c>
      <c r="D103" s="7" t="s">
        <v>337</v>
      </c>
      <c r="E103" s="8" t="s">
        <v>338</v>
      </c>
      <c r="F103" s="9" t="s">
        <v>339</v>
      </c>
      <c r="G103" s="8" t="s">
        <v>339</v>
      </c>
      <c r="H103" s="15"/>
      <c r="I103" s="15"/>
      <c r="J103" s="10"/>
      <c r="K103" s="10"/>
      <c r="L103" s="10"/>
      <c r="M103" s="11" t="str">
        <f aca="false">IF(COUNTA(J103:L103)&lt;3,"",IF(COUNTIF(J103:L103,"유지")=3,"채택","제외"))</f>
        <v/>
      </c>
      <c r="N103" s="12"/>
    </row>
    <row r="104" customFormat="false" ht="15" hidden="false" customHeight="false" outlineLevel="0" collapsed="false">
      <c r="A104" s="7" t="n">
        <v>103</v>
      </c>
      <c r="B104" s="7" t="s">
        <v>33</v>
      </c>
      <c r="C104" s="7" t="s">
        <v>281</v>
      </c>
      <c r="D104" s="7" t="s">
        <v>340</v>
      </c>
      <c r="E104" s="8" t="s">
        <v>341</v>
      </c>
      <c r="F104" s="9" t="s">
        <v>342</v>
      </c>
      <c r="G104" s="8" t="s">
        <v>342</v>
      </c>
      <c r="H104" s="15"/>
      <c r="I104" s="15"/>
      <c r="J104" s="10"/>
      <c r="K104" s="10"/>
      <c r="L104" s="10"/>
      <c r="M104" s="11" t="str">
        <f aca="false">IF(COUNTA(J104:L104)&lt;3,"",IF(COUNTIF(J104:L104,"유지")=3,"채택","제외"))</f>
        <v/>
      </c>
      <c r="N104" s="12"/>
    </row>
    <row r="105" customFormat="false" ht="15" hidden="false" customHeight="false" outlineLevel="0" collapsed="false">
      <c r="A105" s="7" t="n">
        <v>104</v>
      </c>
      <c r="B105" s="7" t="s">
        <v>33</v>
      </c>
      <c r="C105" s="7" t="s">
        <v>281</v>
      </c>
      <c r="D105" s="7" t="s">
        <v>343</v>
      </c>
      <c r="E105" s="8" t="s">
        <v>344</v>
      </c>
      <c r="F105" s="9" t="s">
        <v>345</v>
      </c>
      <c r="G105" s="8" t="s">
        <v>345</v>
      </c>
      <c r="H105" s="15"/>
      <c r="I105" s="15"/>
      <c r="J105" s="10"/>
      <c r="K105" s="10"/>
      <c r="L105" s="10"/>
      <c r="M105" s="11" t="str">
        <f aca="false">IF(COUNTA(J105:L105)&lt;3,"",IF(COUNTIF(J105:L105,"유지")=3,"채택","제외"))</f>
        <v/>
      </c>
      <c r="N105" s="12"/>
    </row>
    <row r="106" customFormat="false" ht="15" hidden="false" customHeight="false" outlineLevel="0" collapsed="false">
      <c r="A106" s="7" t="n">
        <v>105</v>
      </c>
      <c r="B106" s="7" t="s">
        <v>33</v>
      </c>
      <c r="C106" s="7" t="s">
        <v>281</v>
      </c>
      <c r="D106" s="7" t="s">
        <v>346</v>
      </c>
      <c r="E106" s="8" t="s">
        <v>347</v>
      </c>
      <c r="F106" s="9" t="s">
        <v>348</v>
      </c>
      <c r="G106" s="8" t="s">
        <v>348</v>
      </c>
      <c r="H106" s="15"/>
      <c r="I106" s="15"/>
      <c r="J106" s="10"/>
      <c r="K106" s="10"/>
      <c r="L106" s="10"/>
      <c r="M106" s="11" t="str">
        <f aca="false">IF(COUNTA(J106:L106)&lt;3,"",IF(COUNTIF(J106:L106,"유지")=3,"채택","제외"))</f>
        <v/>
      </c>
      <c r="N106" s="12"/>
    </row>
    <row r="107" customFormat="false" ht="15" hidden="false" customHeight="false" outlineLevel="0" collapsed="false">
      <c r="A107" s="7" t="n">
        <v>106</v>
      </c>
      <c r="B107" s="7" t="s">
        <v>33</v>
      </c>
      <c r="C107" s="7" t="s">
        <v>281</v>
      </c>
      <c r="D107" s="7" t="s">
        <v>349</v>
      </c>
      <c r="E107" s="8" t="s">
        <v>350</v>
      </c>
      <c r="F107" s="9" t="s">
        <v>351</v>
      </c>
      <c r="G107" s="8" t="s">
        <v>351</v>
      </c>
      <c r="H107" s="15"/>
      <c r="I107" s="15"/>
      <c r="J107" s="10"/>
      <c r="K107" s="10"/>
      <c r="L107" s="10"/>
      <c r="M107" s="11" t="str">
        <f aca="false">IF(COUNTA(J107:L107)&lt;3,"",IF(COUNTIF(J107:L107,"유지")=3,"채택","제외"))</f>
        <v/>
      </c>
      <c r="N107" s="12"/>
    </row>
    <row r="108" customFormat="false" ht="15" hidden="false" customHeight="false" outlineLevel="0" collapsed="false">
      <c r="A108" s="7" t="n">
        <v>107</v>
      </c>
      <c r="B108" s="7" t="s">
        <v>33</v>
      </c>
      <c r="C108" s="7" t="s">
        <v>281</v>
      </c>
      <c r="D108" s="7" t="s">
        <v>349</v>
      </c>
      <c r="E108" s="8" t="s">
        <v>352</v>
      </c>
      <c r="F108" s="9" t="s">
        <v>353</v>
      </c>
      <c r="G108" s="8" t="s">
        <v>353</v>
      </c>
      <c r="H108" s="15"/>
      <c r="I108" s="15"/>
      <c r="J108" s="10"/>
      <c r="K108" s="10"/>
      <c r="L108" s="10"/>
      <c r="M108" s="11" t="str">
        <f aca="false">IF(COUNTA(J108:L108)&lt;3,"",IF(COUNTIF(J108:L108,"유지")=3,"채택","제외"))</f>
        <v/>
      </c>
      <c r="N108" s="12"/>
    </row>
    <row r="109" customFormat="false" ht="15" hidden="false" customHeight="false" outlineLevel="0" collapsed="false">
      <c r="A109" s="7" t="n">
        <v>108</v>
      </c>
      <c r="B109" s="7" t="s">
        <v>33</v>
      </c>
      <c r="C109" s="7" t="s">
        <v>281</v>
      </c>
      <c r="D109" s="7" t="s">
        <v>354</v>
      </c>
      <c r="E109" s="8" t="s">
        <v>355</v>
      </c>
      <c r="F109" s="9" t="s">
        <v>356</v>
      </c>
      <c r="G109" s="8" t="s">
        <v>356</v>
      </c>
      <c r="H109" s="15"/>
      <c r="I109" s="15"/>
      <c r="J109" s="10"/>
      <c r="K109" s="10"/>
      <c r="L109" s="10"/>
      <c r="M109" s="11" t="str">
        <f aca="false">IF(COUNTA(J109:L109)&lt;3,"",IF(COUNTIF(J109:L109,"유지")=3,"채택","제외"))</f>
        <v/>
      </c>
      <c r="N109" s="12"/>
    </row>
    <row r="110" customFormat="false" ht="15" hidden="false" customHeight="false" outlineLevel="0" collapsed="false">
      <c r="A110" s="7" t="n">
        <v>109</v>
      </c>
      <c r="B110" s="7" t="s">
        <v>33</v>
      </c>
      <c r="C110" s="7" t="s">
        <v>281</v>
      </c>
      <c r="D110" s="7" t="s">
        <v>357</v>
      </c>
      <c r="E110" s="8" t="s">
        <v>358</v>
      </c>
      <c r="F110" s="9" t="s">
        <v>359</v>
      </c>
      <c r="G110" s="8" t="s">
        <v>359</v>
      </c>
      <c r="H110" s="15"/>
      <c r="I110" s="15"/>
      <c r="J110" s="10"/>
      <c r="K110" s="10"/>
      <c r="L110" s="10"/>
      <c r="M110" s="11" t="str">
        <f aca="false">IF(COUNTA(J110:L110)&lt;3,"",IF(COUNTIF(J110:L110,"유지")=3,"채택","제외"))</f>
        <v/>
      </c>
      <c r="N110" s="12"/>
    </row>
    <row r="111" customFormat="false" ht="15" hidden="false" customHeight="false" outlineLevel="0" collapsed="false">
      <c r="A111" s="7" t="n">
        <v>110</v>
      </c>
      <c r="B111" s="7" t="s">
        <v>33</v>
      </c>
      <c r="C111" s="7" t="s">
        <v>281</v>
      </c>
      <c r="D111" s="7" t="s">
        <v>360</v>
      </c>
      <c r="E111" s="8" t="s">
        <v>361</v>
      </c>
      <c r="F111" s="9" t="s">
        <v>362</v>
      </c>
      <c r="G111" s="8" t="s">
        <v>362</v>
      </c>
      <c r="H111" s="15"/>
      <c r="I111" s="15"/>
      <c r="J111" s="10"/>
      <c r="K111" s="10"/>
      <c r="L111" s="10"/>
      <c r="M111" s="11" t="str">
        <f aca="false">IF(COUNTA(J111:L111)&lt;3,"",IF(COUNTIF(J111:L111,"유지")=3,"채택","제외"))</f>
        <v/>
      </c>
      <c r="N111" s="12"/>
    </row>
    <row r="112" customFormat="false" ht="15" hidden="false" customHeight="false" outlineLevel="0" collapsed="false">
      <c r="A112" s="7" t="n">
        <v>111</v>
      </c>
      <c r="B112" s="7" t="s">
        <v>33</v>
      </c>
      <c r="C112" s="7" t="s">
        <v>281</v>
      </c>
      <c r="D112" s="7" t="s">
        <v>363</v>
      </c>
      <c r="E112" s="8" t="s">
        <v>364</v>
      </c>
      <c r="F112" s="9" t="s">
        <v>365</v>
      </c>
      <c r="G112" s="8" t="s">
        <v>365</v>
      </c>
      <c r="H112" s="15"/>
      <c r="I112" s="15"/>
      <c r="J112" s="10"/>
      <c r="K112" s="10"/>
      <c r="L112" s="10"/>
      <c r="M112" s="11" t="str">
        <f aca="false">IF(COUNTA(J112:L112)&lt;3,"",IF(COUNTIF(J112:L112,"유지")=3,"채택","제외"))</f>
        <v/>
      </c>
      <c r="N112" s="12"/>
    </row>
    <row r="113" customFormat="false" ht="15" hidden="false" customHeight="false" outlineLevel="0" collapsed="false">
      <c r="A113" s="7" t="n">
        <v>112</v>
      </c>
      <c r="B113" s="7" t="s">
        <v>33</v>
      </c>
      <c r="C113" s="7" t="s">
        <v>281</v>
      </c>
      <c r="D113" s="7" t="s">
        <v>366</v>
      </c>
      <c r="E113" s="8" t="s">
        <v>367</v>
      </c>
      <c r="F113" s="9" t="s">
        <v>368</v>
      </c>
      <c r="G113" s="8" t="s">
        <v>368</v>
      </c>
      <c r="H113" s="13" t="s">
        <v>74</v>
      </c>
      <c r="I113" s="14"/>
      <c r="J113" s="10"/>
      <c r="K113" s="10"/>
      <c r="L113" s="10"/>
      <c r="M113" s="11" t="str">
        <f aca="false">IF(COUNTA(J113:L113)&lt;3,"",IF(COUNTIF(J113:L113,"유지")=3,"채택","제외"))</f>
        <v/>
      </c>
      <c r="N113" s="12"/>
    </row>
    <row r="114" customFormat="false" ht="15" hidden="false" customHeight="false" outlineLevel="0" collapsed="false">
      <c r="A114" s="7" t="n">
        <v>113</v>
      </c>
      <c r="B114" s="7" t="s">
        <v>33</v>
      </c>
      <c r="C114" s="7" t="s">
        <v>281</v>
      </c>
      <c r="D114" s="7" t="s">
        <v>369</v>
      </c>
      <c r="E114" s="8" t="s">
        <v>370</v>
      </c>
      <c r="F114" s="9" t="s">
        <v>371</v>
      </c>
      <c r="G114" s="8" t="s">
        <v>371</v>
      </c>
      <c r="H114" s="15"/>
      <c r="I114" s="15"/>
      <c r="J114" s="10"/>
      <c r="K114" s="10"/>
      <c r="L114" s="10"/>
      <c r="M114" s="11" t="str">
        <f aca="false">IF(COUNTA(J114:L114)&lt;3,"",IF(COUNTIF(J114:L114,"유지")=3,"채택","제외"))</f>
        <v/>
      </c>
      <c r="N114" s="12"/>
    </row>
    <row r="115" customFormat="false" ht="15" hidden="false" customHeight="false" outlineLevel="0" collapsed="false">
      <c r="A115" s="7" t="n">
        <v>114</v>
      </c>
      <c r="B115" s="7" t="s">
        <v>33</v>
      </c>
      <c r="C115" s="7" t="s">
        <v>281</v>
      </c>
      <c r="D115" s="7" t="s">
        <v>369</v>
      </c>
      <c r="E115" s="8" t="s">
        <v>372</v>
      </c>
      <c r="F115" s="9" t="s">
        <v>373</v>
      </c>
      <c r="G115" s="8" t="s">
        <v>373</v>
      </c>
      <c r="H115" s="15"/>
      <c r="I115" s="15"/>
      <c r="J115" s="10"/>
      <c r="K115" s="10"/>
      <c r="L115" s="10"/>
      <c r="M115" s="11" t="str">
        <f aca="false">IF(COUNTA(J115:L115)&lt;3,"",IF(COUNTIF(J115:L115,"유지")=3,"채택","제외"))</f>
        <v/>
      </c>
      <c r="N115" s="12"/>
    </row>
    <row r="116" customFormat="false" ht="15" hidden="false" customHeight="false" outlineLevel="0" collapsed="false">
      <c r="A116" s="7" t="n">
        <v>115</v>
      </c>
      <c r="B116" s="7" t="s">
        <v>33</v>
      </c>
      <c r="C116" s="7" t="s">
        <v>281</v>
      </c>
      <c r="D116" s="7" t="s">
        <v>374</v>
      </c>
      <c r="E116" s="8" t="s">
        <v>375</v>
      </c>
      <c r="F116" s="9" t="s">
        <v>376</v>
      </c>
      <c r="G116" s="8" t="s">
        <v>376</v>
      </c>
      <c r="H116" s="15"/>
      <c r="I116" s="15"/>
      <c r="J116" s="10"/>
      <c r="K116" s="10"/>
      <c r="L116" s="10"/>
      <c r="M116" s="11" t="str">
        <f aca="false">IF(COUNTA(J116:L116)&lt;3,"",IF(COUNTIF(J116:L116,"유지")=3,"채택","제외"))</f>
        <v/>
      </c>
      <c r="N116" s="12"/>
    </row>
    <row r="117" customFormat="false" ht="15" hidden="false" customHeight="false" outlineLevel="0" collapsed="false">
      <c r="A117" s="7" t="n">
        <v>116</v>
      </c>
      <c r="B117" s="7" t="s">
        <v>33</v>
      </c>
      <c r="C117" s="7" t="s">
        <v>281</v>
      </c>
      <c r="D117" s="7" t="s">
        <v>377</v>
      </c>
      <c r="E117" s="8" t="s">
        <v>378</v>
      </c>
      <c r="F117" s="9" t="s">
        <v>379</v>
      </c>
      <c r="G117" s="8" t="s">
        <v>379</v>
      </c>
      <c r="H117" s="15"/>
      <c r="I117" s="15"/>
      <c r="J117" s="10"/>
      <c r="K117" s="10"/>
      <c r="L117" s="10"/>
      <c r="M117" s="11" t="str">
        <f aca="false">IF(COUNTA(J117:L117)&lt;3,"",IF(COUNTIF(J117:L117,"유지")=3,"채택","제외"))</f>
        <v/>
      </c>
      <c r="N117" s="12"/>
    </row>
    <row r="118" customFormat="false" ht="15" hidden="false" customHeight="false" outlineLevel="0" collapsed="false">
      <c r="A118" s="7" t="n">
        <v>117</v>
      </c>
      <c r="B118" s="7" t="s">
        <v>33</v>
      </c>
      <c r="C118" s="7" t="s">
        <v>281</v>
      </c>
      <c r="D118" s="7" t="s">
        <v>380</v>
      </c>
      <c r="E118" s="8" t="s">
        <v>381</v>
      </c>
      <c r="F118" s="9" t="s">
        <v>382</v>
      </c>
      <c r="G118" s="8" t="s">
        <v>382</v>
      </c>
      <c r="H118" s="15"/>
      <c r="I118" s="15"/>
      <c r="J118" s="10"/>
      <c r="K118" s="10"/>
      <c r="L118" s="10"/>
      <c r="M118" s="11" t="str">
        <f aca="false">IF(COUNTA(J118:L118)&lt;3,"",IF(COUNTIF(J118:L118,"유지")=3,"채택","제외"))</f>
        <v/>
      </c>
      <c r="N118" s="12"/>
    </row>
    <row r="119" customFormat="false" ht="15" hidden="false" customHeight="false" outlineLevel="0" collapsed="false">
      <c r="A119" s="7" t="n">
        <v>118</v>
      </c>
      <c r="B119" s="7" t="s">
        <v>33</v>
      </c>
      <c r="C119" s="7" t="s">
        <v>281</v>
      </c>
      <c r="D119" s="7" t="s">
        <v>383</v>
      </c>
      <c r="E119" s="8" t="s">
        <v>384</v>
      </c>
      <c r="F119" s="9" t="s">
        <v>385</v>
      </c>
      <c r="G119" s="8" t="s">
        <v>385</v>
      </c>
      <c r="H119" s="15"/>
      <c r="I119" s="15"/>
      <c r="J119" s="10"/>
      <c r="K119" s="10"/>
      <c r="L119" s="10"/>
      <c r="M119" s="11" t="str">
        <f aca="false">IF(COUNTA(J119:L119)&lt;3,"",IF(COUNTIF(J119:L119,"유지")=3,"채택","제외"))</f>
        <v/>
      </c>
      <c r="N119" s="12"/>
    </row>
    <row r="120" customFormat="false" ht="15" hidden="false" customHeight="false" outlineLevel="0" collapsed="false">
      <c r="A120" s="7" t="n">
        <v>119</v>
      </c>
      <c r="B120" s="7" t="s">
        <v>33</v>
      </c>
      <c r="C120" s="7" t="s">
        <v>281</v>
      </c>
      <c r="D120" s="7" t="s">
        <v>383</v>
      </c>
      <c r="E120" s="8" t="s">
        <v>386</v>
      </c>
      <c r="F120" s="9" t="s">
        <v>387</v>
      </c>
      <c r="G120" s="8" t="s">
        <v>387</v>
      </c>
      <c r="H120" s="15"/>
      <c r="I120" s="15"/>
      <c r="J120" s="10"/>
      <c r="K120" s="10"/>
      <c r="L120" s="10"/>
      <c r="M120" s="11" t="str">
        <f aca="false">IF(COUNTA(J120:L120)&lt;3,"",IF(COUNTIF(J120:L120,"유지")=3,"채택","제외"))</f>
        <v/>
      </c>
      <c r="N120" s="12"/>
    </row>
    <row r="121" customFormat="false" ht="15" hidden="false" customHeight="false" outlineLevel="0" collapsed="false">
      <c r="A121" s="7" t="n">
        <v>120</v>
      </c>
      <c r="B121" s="7" t="s">
        <v>33</v>
      </c>
      <c r="C121" s="7" t="s">
        <v>281</v>
      </c>
      <c r="D121" s="7" t="s">
        <v>388</v>
      </c>
      <c r="E121" s="8" t="s">
        <v>389</v>
      </c>
      <c r="F121" s="9" t="s">
        <v>390</v>
      </c>
      <c r="G121" s="8" t="s">
        <v>390</v>
      </c>
      <c r="H121" s="15"/>
      <c r="I121" s="15"/>
      <c r="J121" s="10"/>
      <c r="K121" s="10"/>
      <c r="L121" s="10"/>
      <c r="M121" s="11" t="str">
        <f aca="false">IF(COUNTA(J121:L121)&lt;3,"",IF(COUNTIF(J121:L121,"유지")=3,"채택","제외"))</f>
        <v/>
      </c>
      <c r="N121" s="12"/>
    </row>
    <row r="122" customFormat="false" ht="15" hidden="false" customHeight="false" outlineLevel="0" collapsed="false">
      <c r="A122" s="7" t="n">
        <v>121</v>
      </c>
      <c r="B122" s="7" t="s">
        <v>33</v>
      </c>
      <c r="C122" s="7" t="s">
        <v>281</v>
      </c>
      <c r="D122" s="7" t="s">
        <v>391</v>
      </c>
      <c r="E122" s="8" t="s">
        <v>392</v>
      </c>
      <c r="F122" s="9" t="s">
        <v>393</v>
      </c>
      <c r="G122" s="8" t="s">
        <v>393</v>
      </c>
      <c r="H122" s="15"/>
      <c r="I122" s="15"/>
      <c r="J122" s="10"/>
      <c r="K122" s="10"/>
      <c r="L122" s="10"/>
      <c r="M122" s="11" t="str">
        <f aca="false">IF(COUNTA(J122:L122)&lt;3,"",IF(COUNTIF(J122:L122,"유지")=3,"채택","제외"))</f>
        <v/>
      </c>
      <c r="N122" s="12"/>
    </row>
    <row r="123" customFormat="false" ht="15" hidden="false" customHeight="false" outlineLevel="0" collapsed="false">
      <c r="A123" s="7" t="n">
        <v>122</v>
      </c>
      <c r="B123" s="7" t="s">
        <v>33</v>
      </c>
      <c r="C123" s="7" t="s">
        <v>281</v>
      </c>
      <c r="D123" s="7" t="s">
        <v>394</v>
      </c>
      <c r="E123" s="8" t="s">
        <v>395</v>
      </c>
      <c r="F123" s="9" t="s">
        <v>396</v>
      </c>
      <c r="G123" s="8" t="s">
        <v>396</v>
      </c>
      <c r="H123" s="15"/>
      <c r="I123" s="15"/>
      <c r="J123" s="10"/>
      <c r="K123" s="10"/>
      <c r="L123" s="10"/>
      <c r="M123" s="11" t="str">
        <f aca="false">IF(COUNTA(J123:L123)&lt;3,"",IF(COUNTIF(J123:L123,"유지")=3,"채택","제외"))</f>
        <v/>
      </c>
      <c r="N123" s="12"/>
    </row>
    <row r="124" customFormat="false" ht="15" hidden="false" customHeight="false" outlineLevel="0" collapsed="false">
      <c r="A124" s="7" t="n">
        <v>123</v>
      </c>
      <c r="B124" s="7" t="s">
        <v>33</v>
      </c>
      <c r="C124" s="7" t="s">
        <v>281</v>
      </c>
      <c r="D124" s="7" t="s">
        <v>394</v>
      </c>
      <c r="E124" s="8" t="s">
        <v>397</v>
      </c>
      <c r="F124" s="9" t="s">
        <v>398</v>
      </c>
      <c r="G124" s="8" t="s">
        <v>398</v>
      </c>
      <c r="H124" s="15"/>
      <c r="I124" s="15"/>
      <c r="J124" s="10"/>
      <c r="K124" s="10"/>
      <c r="L124" s="10"/>
      <c r="M124" s="11" t="str">
        <f aca="false">IF(COUNTA(J124:L124)&lt;3,"",IF(COUNTIF(J124:L124,"유지")=3,"채택","제외"))</f>
        <v/>
      </c>
      <c r="N124" s="12"/>
    </row>
    <row r="125" customFormat="false" ht="15" hidden="false" customHeight="false" outlineLevel="0" collapsed="false">
      <c r="A125" s="7" t="n">
        <v>124</v>
      </c>
      <c r="B125" s="7" t="s">
        <v>33</v>
      </c>
      <c r="C125" s="7" t="s">
        <v>281</v>
      </c>
      <c r="D125" s="7" t="s">
        <v>399</v>
      </c>
      <c r="E125" s="8" t="s">
        <v>400</v>
      </c>
      <c r="F125" s="9" t="s">
        <v>401</v>
      </c>
      <c r="G125" s="8" t="s">
        <v>401</v>
      </c>
      <c r="H125" s="15"/>
      <c r="I125" s="15"/>
      <c r="J125" s="10"/>
      <c r="K125" s="10"/>
      <c r="L125" s="10"/>
      <c r="M125" s="11" t="str">
        <f aca="false">IF(COUNTA(J125:L125)&lt;3,"",IF(COUNTIF(J125:L125,"유지")=3,"채택","제외"))</f>
        <v/>
      </c>
      <c r="N125" s="12"/>
    </row>
    <row r="126" customFormat="false" ht="15" hidden="false" customHeight="false" outlineLevel="0" collapsed="false">
      <c r="A126" s="7" t="n">
        <v>125</v>
      </c>
      <c r="B126" s="7" t="s">
        <v>33</v>
      </c>
      <c r="C126" s="7" t="s">
        <v>281</v>
      </c>
      <c r="D126" s="7" t="s">
        <v>402</v>
      </c>
      <c r="E126" s="8" t="s">
        <v>403</v>
      </c>
      <c r="F126" s="9" t="s">
        <v>404</v>
      </c>
      <c r="G126" s="8" t="s">
        <v>404</v>
      </c>
      <c r="H126" s="15"/>
      <c r="I126" s="15"/>
      <c r="J126" s="10"/>
      <c r="K126" s="10"/>
      <c r="L126" s="10"/>
      <c r="M126" s="11" t="str">
        <f aca="false">IF(COUNTA(J126:L126)&lt;3,"",IF(COUNTIF(J126:L126,"유지")=3,"채택","제외"))</f>
        <v/>
      </c>
      <c r="N126" s="12"/>
    </row>
    <row r="127" customFormat="false" ht="15" hidden="false" customHeight="false" outlineLevel="0" collapsed="false">
      <c r="A127" s="7" t="n">
        <v>126</v>
      </c>
      <c r="B127" s="7" t="s">
        <v>33</v>
      </c>
      <c r="C127" s="7" t="s">
        <v>281</v>
      </c>
      <c r="D127" s="7" t="s">
        <v>405</v>
      </c>
      <c r="E127" s="8" t="s">
        <v>406</v>
      </c>
      <c r="F127" s="9" t="s">
        <v>407</v>
      </c>
      <c r="G127" s="8" t="s">
        <v>407</v>
      </c>
      <c r="H127" s="15"/>
      <c r="I127" s="15"/>
      <c r="J127" s="10"/>
      <c r="K127" s="10"/>
      <c r="L127" s="10"/>
      <c r="M127" s="11" t="str">
        <f aca="false">IF(COUNTA(J127:L127)&lt;3,"",IF(COUNTIF(J127:L127,"유지")=3,"채택","제외"))</f>
        <v/>
      </c>
      <c r="N127" s="12"/>
    </row>
    <row r="128" customFormat="false" ht="15" hidden="false" customHeight="false" outlineLevel="0" collapsed="false">
      <c r="A128" s="7" t="n">
        <v>127</v>
      </c>
      <c r="B128" s="7" t="s">
        <v>33</v>
      </c>
      <c r="C128" s="7" t="s">
        <v>281</v>
      </c>
      <c r="D128" s="7" t="s">
        <v>408</v>
      </c>
      <c r="E128" s="8" t="s">
        <v>409</v>
      </c>
      <c r="F128" s="9" t="s">
        <v>410</v>
      </c>
      <c r="G128" s="8" t="s">
        <v>410</v>
      </c>
      <c r="H128" s="15"/>
      <c r="I128" s="15"/>
      <c r="J128" s="10"/>
      <c r="K128" s="10"/>
      <c r="L128" s="10"/>
      <c r="M128" s="11" t="str">
        <f aca="false">IF(COUNTA(J128:L128)&lt;3,"",IF(COUNTIF(J128:L128,"유지")=3,"채택","제외"))</f>
        <v/>
      </c>
      <c r="N128" s="12"/>
    </row>
    <row r="129" customFormat="false" ht="15" hidden="false" customHeight="false" outlineLevel="0" collapsed="false">
      <c r="A129" s="7" t="n">
        <v>128</v>
      </c>
      <c r="B129" s="7" t="s">
        <v>33</v>
      </c>
      <c r="C129" s="7" t="s">
        <v>281</v>
      </c>
      <c r="D129" s="7" t="s">
        <v>408</v>
      </c>
      <c r="E129" s="8" t="s">
        <v>411</v>
      </c>
      <c r="F129" s="9" t="s">
        <v>412</v>
      </c>
      <c r="G129" s="8" t="s">
        <v>412</v>
      </c>
      <c r="H129" s="15"/>
      <c r="I129" s="15"/>
      <c r="J129" s="10"/>
      <c r="K129" s="10"/>
      <c r="L129" s="10"/>
      <c r="M129" s="11" t="str">
        <f aca="false">IF(COUNTA(J129:L129)&lt;3,"",IF(COUNTIF(J129:L129,"유지")=3,"채택","제외"))</f>
        <v/>
      </c>
      <c r="N129" s="12"/>
    </row>
    <row r="130" customFormat="false" ht="15" hidden="false" customHeight="false" outlineLevel="0" collapsed="false">
      <c r="A130" s="7" t="n">
        <v>129</v>
      </c>
      <c r="B130" s="7" t="s">
        <v>33</v>
      </c>
      <c r="C130" s="7" t="s">
        <v>281</v>
      </c>
      <c r="D130" s="7" t="s">
        <v>413</v>
      </c>
      <c r="E130" s="8" t="s">
        <v>414</v>
      </c>
      <c r="F130" s="9" t="s">
        <v>415</v>
      </c>
      <c r="G130" s="8" t="s">
        <v>415</v>
      </c>
      <c r="H130" s="15"/>
      <c r="I130" s="15"/>
      <c r="J130" s="10"/>
      <c r="K130" s="10"/>
      <c r="L130" s="10"/>
      <c r="M130" s="11" t="str">
        <f aca="false">IF(COUNTA(J130:L130)&lt;3,"",IF(COUNTIF(J130:L130,"유지")=3,"채택","제외"))</f>
        <v/>
      </c>
      <c r="N130" s="12"/>
    </row>
    <row r="131" customFormat="false" ht="15" hidden="false" customHeight="false" outlineLevel="0" collapsed="false">
      <c r="A131" s="7" t="n">
        <v>130</v>
      </c>
      <c r="B131" s="7" t="s">
        <v>33</v>
      </c>
      <c r="C131" s="7" t="s">
        <v>281</v>
      </c>
      <c r="D131" s="7" t="s">
        <v>416</v>
      </c>
      <c r="E131" s="8" t="s">
        <v>417</v>
      </c>
      <c r="F131" s="9" t="s">
        <v>418</v>
      </c>
      <c r="G131" s="8" t="s">
        <v>418</v>
      </c>
      <c r="H131" s="15"/>
      <c r="I131" s="15"/>
      <c r="J131" s="10"/>
      <c r="K131" s="10"/>
      <c r="L131" s="10"/>
      <c r="M131" s="11" t="str">
        <f aca="false">IF(COUNTA(J131:L131)&lt;3,"",IF(COUNTIF(J131:L131,"유지")=3,"채택","제외"))</f>
        <v/>
      </c>
      <c r="N131" s="12"/>
    </row>
    <row r="132" customFormat="false" ht="15" hidden="false" customHeight="false" outlineLevel="0" collapsed="false">
      <c r="A132" s="7" t="n">
        <v>131</v>
      </c>
      <c r="B132" s="7" t="s">
        <v>33</v>
      </c>
      <c r="C132" s="7" t="s">
        <v>281</v>
      </c>
      <c r="D132" s="7" t="s">
        <v>419</v>
      </c>
      <c r="E132" s="8" t="s">
        <v>420</v>
      </c>
      <c r="F132" s="9" t="s">
        <v>421</v>
      </c>
      <c r="G132" s="8" t="s">
        <v>421</v>
      </c>
      <c r="H132" s="15"/>
      <c r="I132" s="15"/>
      <c r="J132" s="10"/>
      <c r="K132" s="10"/>
      <c r="L132" s="10"/>
      <c r="M132" s="11" t="str">
        <f aca="false">IF(COUNTA(J132:L132)&lt;3,"",IF(COUNTIF(J132:L132,"유지")=3,"채택","제외"))</f>
        <v/>
      </c>
      <c r="N132" s="12"/>
    </row>
    <row r="133" customFormat="false" ht="15" hidden="false" customHeight="false" outlineLevel="0" collapsed="false">
      <c r="A133" s="7" t="n">
        <v>132</v>
      </c>
      <c r="B133" s="7" t="s">
        <v>33</v>
      </c>
      <c r="C133" s="7" t="s">
        <v>281</v>
      </c>
      <c r="D133" s="7" t="s">
        <v>422</v>
      </c>
      <c r="E133" s="8" t="s">
        <v>423</v>
      </c>
      <c r="F133" s="9" t="s">
        <v>424</v>
      </c>
      <c r="G133" s="8" t="s">
        <v>424</v>
      </c>
      <c r="H133" s="13" t="s">
        <v>74</v>
      </c>
      <c r="I133" s="14"/>
      <c r="J133" s="10"/>
      <c r="K133" s="10"/>
      <c r="L133" s="10"/>
      <c r="M133" s="11" t="str">
        <f aca="false">IF(COUNTA(J133:L133)&lt;3,"",IF(COUNTIF(J133:L133,"유지")=3,"채택","제외"))</f>
        <v/>
      </c>
      <c r="N133" s="12"/>
    </row>
    <row r="134" customFormat="false" ht="15" hidden="false" customHeight="false" outlineLevel="0" collapsed="false">
      <c r="A134" s="7" t="n">
        <v>133</v>
      </c>
      <c r="B134" s="7" t="s">
        <v>33</v>
      </c>
      <c r="C134" s="7" t="s">
        <v>281</v>
      </c>
      <c r="D134" s="7" t="s">
        <v>425</v>
      </c>
      <c r="E134" s="8" t="s">
        <v>426</v>
      </c>
      <c r="F134" s="9" t="s">
        <v>427</v>
      </c>
      <c r="G134" s="8" t="s">
        <v>427</v>
      </c>
      <c r="H134" s="15"/>
      <c r="I134" s="15"/>
      <c r="J134" s="10"/>
      <c r="K134" s="10"/>
      <c r="L134" s="10"/>
      <c r="M134" s="11" t="str">
        <f aca="false">IF(COUNTA(J134:L134)&lt;3,"",IF(COUNTIF(J134:L134,"유지")=3,"채택","제외"))</f>
        <v/>
      </c>
      <c r="N134" s="12"/>
    </row>
    <row r="135" customFormat="false" ht="15" hidden="false" customHeight="false" outlineLevel="0" collapsed="false">
      <c r="A135" s="7" t="n">
        <v>134</v>
      </c>
      <c r="B135" s="7" t="s">
        <v>33</v>
      </c>
      <c r="C135" s="7" t="s">
        <v>281</v>
      </c>
      <c r="D135" s="7" t="s">
        <v>428</v>
      </c>
      <c r="E135" s="8" t="s">
        <v>429</v>
      </c>
      <c r="F135" s="9" t="s">
        <v>430</v>
      </c>
      <c r="G135" s="8" t="s">
        <v>430</v>
      </c>
      <c r="H135" s="15"/>
      <c r="I135" s="15"/>
      <c r="J135" s="10"/>
      <c r="K135" s="10"/>
      <c r="L135" s="10"/>
      <c r="M135" s="11" t="str">
        <f aca="false">IF(COUNTA(J135:L135)&lt;3,"",IF(COUNTIF(J135:L135,"유지")=3,"채택","제외"))</f>
        <v/>
      </c>
      <c r="N135" s="12"/>
    </row>
    <row r="136" customFormat="false" ht="15" hidden="false" customHeight="false" outlineLevel="0" collapsed="false">
      <c r="A136" s="7" t="n">
        <v>135</v>
      </c>
      <c r="B136" s="7" t="s">
        <v>33</v>
      </c>
      <c r="C136" s="7" t="s">
        <v>281</v>
      </c>
      <c r="D136" s="7" t="s">
        <v>431</v>
      </c>
      <c r="E136" s="8" t="s">
        <v>432</v>
      </c>
      <c r="F136" s="9" t="s">
        <v>433</v>
      </c>
      <c r="G136" s="8" t="s">
        <v>433</v>
      </c>
      <c r="H136" s="15"/>
      <c r="I136" s="15"/>
      <c r="J136" s="10"/>
      <c r="K136" s="10"/>
      <c r="L136" s="10"/>
      <c r="M136" s="11" t="str">
        <f aca="false">IF(COUNTA(J136:L136)&lt;3,"",IF(COUNTIF(J136:L136,"유지")=3,"채택","제외"))</f>
        <v/>
      </c>
      <c r="N136" s="12"/>
    </row>
    <row r="137" customFormat="false" ht="15" hidden="false" customHeight="false" outlineLevel="0" collapsed="false">
      <c r="A137" s="7" t="n">
        <v>136</v>
      </c>
      <c r="B137" s="7" t="s">
        <v>33</v>
      </c>
      <c r="C137" s="7" t="s">
        <v>281</v>
      </c>
      <c r="D137" s="7" t="s">
        <v>431</v>
      </c>
      <c r="E137" s="8" t="s">
        <v>434</v>
      </c>
      <c r="F137" s="9" t="s">
        <v>435</v>
      </c>
      <c r="G137" s="8" t="s">
        <v>435</v>
      </c>
      <c r="H137" s="13" t="s">
        <v>87</v>
      </c>
      <c r="I137" s="14"/>
      <c r="J137" s="10"/>
      <c r="K137" s="10"/>
      <c r="L137" s="10"/>
      <c r="M137" s="11" t="str">
        <f aca="false">IF(COUNTA(J137:L137)&lt;3,"",IF(COUNTIF(J137:L137,"유지")=3,"채택","제외"))</f>
        <v/>
      </c>
      <c r="N137" s="12"/>
    </row>
    <row r="138" customFormat="false" ht="15" hidden="false" customHeight="false" outlineLevel="0" collapsed="false">
      <c r="A138" s="7" t="n">
        <v>137</v>
      </c>
      <c r="B138" s="7" t="s">
        <v>33</v>
      </c>
      <c r="C138" s="7" t="s">
        <v>281</v>
      </c>
      <c r="D138" s="7" t="s">
        <v>436</v>
      </c>
      <c r="E138" s="8" t="s">
        <v>437</v>
      </c>
      <c r="F138" s="9" t="s">
        <v>438</v>
      </c>
      <c r="G138" s="8" t="s">
        <v>438</v>
      </c>
      <c r="H138" s="15"/>
      <c r="I138" s="15"/>
      <c r="J138" s="10"/>
      <c r="K138" s="10"/>
      <c r="L138" s="10"/>
      <c r="M138" s="11" t="str">
        <f aca="false">IF(COUNTA(J138:L138)&lt;3,"",IF(COUNTIF(J138:L138,"유지")=3,"채택","제외"))</f>
        <v/>
      </c>
      <c r="N138" s="12"/>
    </row>
    <row r="139" customFormat="false" ht="15" hidden="false" customHeight="false" outlineLevel="0" collapsed="false">
      <c r="A139" s="7" t="n">
        <v>138</v>
      </c>
      <c r="B139" s="7" t="s">
        <v>33</v>
      </c>
      <c r="C139" s="7" t="s">
        <v>281</v>
      </c>
      <c r="D139" s="7" t="s">
        <v>439</v>
      </c>
      <c r="E139" s="8" t="s">
        <v>440</v>
      </c>
      <c r="F139" s="9" t="s">
        <v>441</v>
      </c>
      <c r="G139" s="8" t="s">
        <v>441</v>
      </c>
      <c r="H139" s="15"/>
      <c r="I139" s="15"/>
      <c r="J139" s="10"/>
      <c r="K139" s="10"/>
      <c r="L139" s="10"/>
      <c r="M139" s="11" t="str">
        <f aca="false">IF(COUNTA(J139:L139)&lt;3,"",IF(COUNTIF(J139:L139,"유지")=3,"채택","제외"))</f>
        <v/>
      </c>
      <c r="N139" s="12"/>
    </row>
    <row r="140" customFormat="false" ht="15" hidden="false" customHeight="false" outlineLevel="0" collapsed="false">
      <c r="A140" s="7" t="n">
        <v>139</v>
      </c>
      <c r="B140" s="7" t="s">
        <v>33</v>
      </c>
      <c r="C140" s="7" t="s">
        <v>281</v>
      </c>
      <c r="D140" s="7" t="s">
        <v>442</v>
      </c>
      <c r="E140" s="8" t="s">
        <v>443</v>
      </c>
      <c r="F140" s="9" t="s">
        <v>444</v>
      </c>
      <c r="G140" s="8" t="s">
        <v>444</v>
      </c>
      <c r="H140" s="15"/>
      <c r="I140" s="15"/>
      <c r="J140" s="10"/>
      <c r="K140" s="10"/>
      <c r="L140" s="10"/>
      <c r="M140" s="11" t="str">
        <f aca="false">IF(COUNTA(J140:L140)&lt;3,"",IF(COUNTIF(J140:L140,"유지")=3,"채택","제외"))</f>
        <v/>
      </c>
      <c r="N140" s="12"/>
    </row>
    <row r="141" customFormat="false" ht="15" hidden="false" customHeight="false" outlineLevel="0" collapsed="false">
      <c r="A141" s="7" t="n">
        <v>140</v>
      </c>
      <c r="B141" s="7" t="s">
        <v>33</v>
      </c>
      <c r="C141" s="7" t="s">
        <v>281</v>
      </c>
      <c r="D141" s="7" t="s">
        <v>445</v>
      </c>
      <c r="E141" s="8" t="s">
        <v>446</v>
      </c>
      <c r="F141" s="9" t="s">
        <v>447</v>
      </c>
      <c r="G141" s="8" t="s">
        <v>447</v>
      </c>
      <c r="H141" s="15"/>
      <c r="I141" s="15"/>
      <c r="J141" s="10"/>
      <c r="K141" s="10"/>
      <c r="L141" s="10"/>
      <c r="M141" s="11" t="str">
        <f aca="false">IF(COUNTA(J141:L141)&lt;3,"",IF(COUNTIF(J141:L141,"유지")=3,"채택","제외"))</f>
        <v/>
      </c>
      <c r="N141" s="12"/>
    </row>
    <row r="142" customFormat="false" ht="15" hidden="false" customHeight="false" outlineLevel="0" collapsed="false">
      <c r="A142" s="7" t="n">
        <v>141</v>
      </c>
      <c r="B142" s="7" t="s">
        <v>33</v>
      </c>
      <c r="C142" s="7" t="s">
        <v>281</v>
      </c>
      <c r="D142" s="7" t="s">
        <v>445</v>
      </c>
      <c r="E142" s="8" t="s">
        <v>448</v>
      </c>
      <c r="F142" s="9" t="s">
        <v>449</v>
      </c>
      <c r="G142" s="8" t="s">
        <v>450</v>
      </c>
      <c r="H142" s="13" t="s">
        <v>87</v>
      </c>
      <c r="I142" s="14"/>
      <c r="J142" s="10"/>
      <c r="K142" s="10"/>
      <c r="L142" s="10"/>
      <c r="M142" s="11" t="str">
        <f aca="false">IF(COUNTA(J142:L142)&lt;3,"",IF(COUNTIF(J142:L142,"유지")=3,"채택","제외"))</f>
        <v/>
      </c>
      <c r="N142" s="12"/>
    </row>
    <row r="143" customFormat="false" ht="15" hidden="false" customHeight="false" outlineLevel="0" collapsed="false">
      <c r="A143" s="7" t="n">
        <v>142</v>
      </c>
      <c r="B143" s="7" t="s">
        <v>33</v>
      </c>
      <c r="C143" s="7" t="s">
        <v>281</v>
      </c>
      <c r="D143" s="7" t="s">
        <v>451</v>
      </c>
      <c r="E143" s="8" t="s">
        <v>452</v>
      </c>
      <c r="F143" s="9" t="s">
        <v>453</v>
      </c>
      <c r="G143" s="8" t="s">
        <v>453</v>
      </c>
      <c r="H143" s="15"/>
      <c r="I143" s="15"/>
      <c r="J143" s="10"/>
      <c r="K143" s="10"/>
      <c r="L143" s="10"/>
      <c r="M143" s="11" t="str">
        <f aca="false">IF(COUNTA(J143:L143)&lt;3,"",IF(COUNTIF(J143:L143,"유지")=3,"채택","제외"))</f>
        <v/>
      </c>
      <c r="N143" s="12"/>
    </row>
    <row r="144" customFormat="false" ht="15" hidden="false" customHeight="false" outlineLevel="0" collapsed="false">
      <c r="A144" s="7" t="n">
        <v>143</v>
      </c>
      <c r="B144" s="7" t="s">
        <v>33</v>
      </c>
      <c r="C144" s="7" t="s">
        <v>281</v>
      </c>
      <c r="D144" s="7" t="s">
        <v>454</v>
      </c>
      <c r="E144" s="8" t="s">
        <v>455</v>
      </c>
      <c r="F144" s="9" t="s">
        <v>456</v>
      </c>
      <c r="G144" s="8" t="s">
        <v>456</v>
      </c>
      <c r="H144" s="15"/>
      <c r="I144" s="15"/>
      <c r="J144" s="10"/>
      <c r="K144" s="10"/>
      <c r="L144" s="10"/>
      <c r="M144" s="11" t="str">
        <f aca="false">IF(COUNTA(J144:L144)&lt;3,"",IF(COUNTIF(J144:L144,"유지")=3,"채택","제외"))</f>
        <v/>
      </c>
      <c r="N144" s="12"/>
    </row>
    <row r="145" customFormat="false" ht="15" hidden="false" customHeight="false" outlineLevel="0" collapsed="false">
      <c r="A145" s="7" t="n">
        <v>144</v>
      </c>
      <c r="B145" s="7" t="s">
        <v>33</v>
      </c>
      <c r="C145" s="7" t="s">
        <v>281</v>
      </c>
      <c r="D145" s="7" t="s">
        <v>457</v>
      </c>
      <c r="E145" s="8" t="s">
        <v>458</v>
      </c>
      <c r="F145" s="9" t="s">
        <v>459</v>
      </c>
      <c r="G145" s="8" t="s">
        <v>459</v>
      </c>
      <c r="H145" s="15"/>
      <c r="I145" s="15"/>
      <c r="J145" s="10"/>
      <c r="K145" s="10"/>
      <c r="L145" s="10"/>
      <c r="M145" s="11" t="str">
        <f aca="false">IF(COUNTA(J145:L145)&lt;3,"",IF(COUNTIF(J145:L145,"유지")=3,"채택","제외"))</f>
        <v/>
      </c>
      <c r="N145" s="12"/>
    </row>
    <row r="146" customFormat="false" ht="15" hidden="false" customHeight="false" outlineLevel="0" collapsed="false">
      <c r="A146" s="7" t="n">
        <v>145</v>
      </c>
      <c r="B146" s="7" t="s">
        <v>33</v>
      </c>
      <c r="C146" s="7" t="s">
        <v>281</v>
      </c>
      <c r="D146" s="7" t="s">
        <v>460</v>
      </c>
      <c r="E146" s="8" t="s">
        <v>461</v>
      </c>
      <c r="F146" s="9" t="s">
        <v>462</v>
      </c>
      <c r="G146" s="8" t="s">
        <v>462</v>
      </c>
      <c r="H146" s="13" t="s">
        <v>87</v>
      </c>
      <c r="I146" s="14"/>
      <c r="J146" s="10"/>
      <c r="K146" s="10"/>
      <c r="L146" s="10"/>
      <c r="M146" s="11" t="str">
        <f aca="false">IF(COUNTA(J146:L146)&lt;3,"",IF(COUNTIF(J146:L146,"유지")=3,"채택","제외"))</f>
        <v/>
      </c>
      <c r="N146" s="12"/>
    </row>
    <row r="147" customFormat="false" ht="15" hidden="false" customHeight="false" outlineLevel="0" collapsed="false">
      <c r="A147" s="7" t="n">
        <v>146</v>
      </c>
      <c r="B147" s="7" t="s">
        <v>33</v>
      </c>
      <c r="C147" s="7" t="s">
        <v>281</v>
      </c>
      <c r="D147" s="7" t="s">
        <v>460</v>
      </c>
      <c r="E147" s="8" t="s">
        <v>463</v>
      </c>
      <c r="F147" s="9" t="s">
        <v>464</v>
      </c>
      <c r="G147" s="8" t="s">
        <v>464</v>
      </c>
      <c r="H147" s="13" t="s">
        <v>87</v>
      </c>
      <c r="I147" s="14"/>
      <c r="J147" s="10"/>
      <c r="K147" s="10"/>
      <c r="L147" s="10"/>
      <c r="M147" s="11" t="str">
        <f aca="false">IF(COUNTA(J147:L147)&lt;3,"",IF(COUNTIF(J147:L147,"유지")=3,"채택","제외"))</f>
        <v/>
      </c>
      <c r="N147" s="12"/>
    </row>
    <row r="148" customFormat="false" ht="15" hidden="false" customHeight="false" outlineLevel="0" collapsed="false">
      <c r="A148" s="7" t="n">
        <v>147</v>
      </c>
      <c r="B148" s="7" t="s">
        <v>33</v>
      </c>
      <c r="C148" s="7" t="s">
        <v>281</v>
      </c>
      <c r="D148" s="7" t="s">
        <v>465</v>
      </c>
      <c r="E148" s="8" t="s">
        <v>463</v>
      </c>
      <c r="F148" s="9" t="s">
        <v>464</v>
      </c>
      <c r="G148" s="8" t="s">
        <v>464</v>
      </c>
      <c r="H148" s="13" t="s">
        <v>87</v>
      </c>
      <c r="I148" s="14"/>
      <c r="J148" s="10"/>
      <c r="K148" s="10"/>
      <c r="L148" s="10"/>
      <c r="M148" s="11" t="str">
        <f aca="false">IF(COUNTA(J148:L148)&lt;3,"",IF(COUNTIF(J148:L148,"유지")=3,"채택","제외"))</f>
        <v/>
      </c>
      <c r="N148" s="12"/>
    </row>
    <row r="149" customFormat="false" ht="15" hidden="false" customHeight="false" outlineLevel="0" collapsed="false">
      <c r="A149" s="7" t="n">
        <v>148</v>
      </c>
      <c r="B149" s="7" t="s">
        <v>33</v>
      </c>
      <c r="C149" s="7" t="s">
        <v>281</v>
      </c>
      <c r="D149" s="7" t="s">
        <v>466</v>
      </c>
      <c r="E149" s="8" t="s">
        <v>467</v>
      </c>
      <c r="F149" s="9" t="s">
        <v>468</v>
      </c>
      <c r="G149" s="8" t="s">
        <v>468</v>
      </c>
      <c r="H149" s="15"/>
      <c r="I149" s="15"/>
      <c r="J149" s="10"/>
      <c r="K149" s="10"/>
      <c r="L149" s="10"/>
      <c r="M149" s="11" t="str">
        <f aca="false">IF(COUNTA(J149:L149)&lt;3,"",IF(COUNTIF(J149:L149,"유지")=3,"채택","제외"))</f>
        <v/>
      </c>
      <c r="N149" s="12"/>
    </row>
    <row r="150" customFormat="false" ht="15" hidden="false" customHeight="false" outlineLevel="0" collapsed="false">
      <c r="A150" s="7" t="n">
        <v>149</v>
      </c>
      <c r="B150" s="7" t="s">
        <v>33</v>
      </c>
      <c r="C150" s="7" t="s">
        <v>281</v>
      </c>
      <c r="D150" s="7" t="s">
        <v>469</v>
      </c>
      <c r="E150" s="8" t="s">
        <v>470</v>
      </c>
      <c r="F150" s="9" t="s">
        <v>143</v>
      </c>
      <c r="G150" s="8" t="s">
        <v>143</v>
      </c>
      <c r="H150" s="13" t="s">
        <v>87</v>
      </c>
      <c r="I150" s="14"/>
      <c r="J150" s="10"/>
      <c r="K150" s="10"/>
      <c r="L150" s="10"/>
      <c r="M150" s="11" t="str">
        <f aca="false">IF(COUNTA(J150:L150)&lt;3,"",IF(COUNTIF(J150:L150,"유지")=3,"채택","제외"))</f>
        <v/>
      </c>
      <c r="N150" s="12"/>
    </row>
    <row r="151" customFormat="false" ht="15" hidden="false" customHeight="false" outlineLevel="0" collapsed="false">
      <c r="A151" s="7" t="n">
        <v>150</v>
      </c>
      <c r="B151" s="7" t="s">
        <v>33</v>
      </c>
      <c r="C151" s="7" t="s">
        <v>281</v>
      </c>
      <c r="D151" s="7" t="s">
        <v>471</v>
      </c>
      <c r="E151" s="8" t="s">
        <v>472</v>
      </c>
      <c r="F151" s="9" t="s">
        <v>473</v>
      </c>
      <c r="G151" s="8" t="s">
        <v>473</v>
      </c>
      <c r="H151" s="15"/>
      <c r="I151" s="15"/>
      <c r="J151" s="10"/>
      <c r="K151" s="10"/>
      <c r="L151" s="10"/>
      <c r="M151" s="11" t="str">
        <f aca="false">IF(COUNTA(J151:L151)&lt;3,"",IF(COUNTIF(J151:L151,"유지")=3,"채택","제외"))</f>
        <v/>
      </c>
      <c r="N151" s="12"/>
    </row>
    <row r="152" customFormat="false" ht="15" hidden="false" customHeight="false" outlineLevel="0" collapsed="false">
      <c r="A152" s="7" t="n">
        <v>151</v>
      </c>
      <c r="B152" s="7" t="s">
        <v>33</v>
      </c>
      <c r="C152" s="7" t="s">
        <v>281</v>
      </c>
      <c r="D152" s="7" t="s">
        <v>474</v>
      </c>
      <c r="E152" s="8" t="s">
        <v>461</v>
      </c>
      <c r="F152" s="9" t="s">
        <v>462</v>
      </c>
      <c r="G152" s="8" t="s">
        <v>462</v>
      </c>
      <c r="H152" s="13" t="s">
        <v>87</v>
      </c>
      <c r="I152" s="14"/>
      <c r="J152" s="10"/>
      <c r="K152" s="10"/>
      <c r="L152" s="10"/>
      <c r="M152" s="11" t="str">
        <f aca="false">IF(COUNTA(J152:L152)&lt;3,"",IF(COUNTIF(J152:L152,"유지")=3,"채택","제외"))</f>
        <v/>
      </c>
      <c r="N152" s="12"/>
    </row>
    <row r="153" customFormat="false" ht="15" hidden="false" customHeight="false" outlineLevel="0" collapsed="false">
      <c r="A153" s="7" t="n">
        <v>152</v>
      </c>
      <c r="B153" s="7" t="s">
        <v>33</v>
      </c>
      <c r="C153" s="7" t="s">
        <v>281</v>
      </c>
      <c r="D153" s="7" t="s">
        <v>475</v>
      </c>
      <c r="E153" s="8" t="s">
        <v>476</v>
      </c>
      <c r="F153" s="9" t="s">
        <v>477</v>
      </c>
      <c r="G153" s="8" t="s">
        <v>477</v>
      </c>
      <c r="H153" s="15"/>
      <c r="I153" s="15"/>
      <c r="J153" s="10"/>
      <c r="K153" s="10"/>
      <c r="L153" s="10"/>
      <c r="M153" s="11" t="str">
        <f aca="false">IF(COUNTA(J153:L153)&lt;3,"",IF(COUNTIF(J153:L153,"유지")=3,"채택","제외"))</f>
        <v/>
      </c>
      <c r="N153" s="12"/>
    </row>
    <row r="154" customFormat="false" ht="15" hidden="false" customHeight="false" outlineLevel="0" collapsed="false">
      <c r="A154" s="7" t="n">
        <v>153</v>
      </c>
      <c r="B154" s="7" t="s">
        <v>33</v>
      </c>
      <c r="C154" s="7" t="s">
        <v>281</v>
      </c>
      <c r="D154" s="7" t="s">
        <v>478</v>
      </c>
      <c r="E154" s="8" t="s">
        <v>479</v>
      </c>
      <c r="F154" s="9" t="s">
        <v>480</v>
      </c>
      <c r="G154" s="8" t="s">
        <v>480</v>
      </c>
      <c r="H154" s="15"/>
      <c r="I154" s="15"/>
      <c r="J154" s="10"/>
      <c r="K154" s="10"/>
      <c r="L154" s="10"/>
      <c r="M154" s="11" t="str">
        <f aca="false">IF(COUNTA(J154:L154)&lt;3,"",IF(COUNTIF(J154:L154,"유지")=3,"채택","제외"))</f>
        <v/>
      </c>
      <c r="N154" s="12"/>
    </row>
    <row r="155" customFormat="false" ht="15" hidden="false" customHeight="false" outlineLevel="0" collapsed="false">
      <c r="A155" s="7" t="n">
        <v>154</v>
      </c>
      <c r="B155" s="7" t="s">
        <v>33</v>
      </c>
      <c r="C155" s="7" t="s">
        <v>281</v>
      </c>
      <c r="D155" s="7" t="s">
        <v>481</v>
      </c>
      <c r="E155" s="8" t="s">
        <v>482</v>
      </c>
      <c r="F155" s="9" t="s">
        <v>483</v>
      </c>
      <c r="G155" s="8" t="s">
        <v>483</v>
      </c>
      <c r="H155" s="13" t="s">
        <v>74</v>
      </c>
      <c r="I155" s="14"/>
      <c r="J155" s="10"/>
      <c r="K155" s="10"/>
      <c r="L155" s="10"/>
      <c r="M155" s="11" t="str">
        <f aca="false">IF(COUNTA(J155:L155)&lt;3,"",IF(COUNTIF(J155:L155,"유지")=3,"채택","제외"))</f>
        <v/>
      </c>
      <c r="N155" s="12"/>
    </row>
    <row r="156" customFormat="false" ht="15" hidden="false" customHeight="false" outlineLevel="0" collapsed="false">
      <c r="A156" s="7" t="n">
        <v>155</v>
      </c>
      <c r="B156" s="7" t="s">
        <v>33</v>
      </c>
      <c r="C156" s="7" t="s">
        <v>281</v>
      </c>
      <c r="D156" s="7" t="s">
        <v>484</v>
      </c>
      <c r="E156" s="7" t="s">
        <v>484</v>
      </c>
      <c r="F156" s="15" t="s">
        <v>485</v>
      </c>
      <c r="G156" s="7" t="s">
        <v>485</v>
      </c>
      <c r="H156" s="15"/>
      <c r="I156" s="15"/>
      <c r="J156" s="10"/>
      <c r="K156" s="10"/>
      <c r="L156" s="10"/>
      <c r="M156" s="11" t="str">
        <f aca="false">IF(COUNTA(J156:L156)&lt;3,"",IF(COUNTIF(J156:L156,"유지")=3,"채택","제외"))</f>
        <v/>
      </c>
      <c r="N156" s="12"/>
    </row>
    <row r="157" customFormat="false" ht="15" hidden="false" customHeight="false" outlineLevel="0" collapsed="false">
      <c r="A157" s="7" t="n">
        <v>156</v>
      </c>
      <c r="B157" s="7" t="s">
        <v>33</v>
      </c>
      <c r="C157" s="7" t="s">
        <v>281</v>
      </c>
      <c r="D157" s="7" t="s">
        <v>486</v>
      </c>
      <c r="E157" s="8" t="s">
        <v>487</v>
      </c>
      <c r="F157" s="9" t="s">
        <v>450</v>
      </c>
      <c r="G157" s="8" t="s">
        <v>450</v>
      </c>
      <c r="H157" s="13" t="s">
        <v>87</v>
      </c>
      <c r="I157" s="14"/>
      <c r="J157" s="10"/>
      <c r="K157" s="10"/>
      <c r="L157" s="10"/>
      <c r="M157" s="11" t="str">
        <f aca="false">IF(COUNTA(J157:L157)&lt;3,"",IF(COUNTIF(J157:L157,"유지")=3,"채택","제외"))</f>
        <v/>
      </c>
      <c r="N157" s="12"/>
    </row>
    <row r="158" customFormat="false" ht="15" hidden="false" customHeight="false" outlineLevel="0" collapsed="false">
      <c r="A158" s="7" t="n">
        <v>157</v>
      </c>
      <c r="B158" s="7" t="s">
        <v>33</v>
      </c>
      <c r="C158" s="7" t="s">
        <v>281</v>
      </c>
      <c r="D158" s="7" t="s">
        <v>488</v>
      </c>
      <c r="E158" s="8" t="s">
        <v>489</v>
      </c>
      <c r="F158" s="9" t="s">
        <v>490</v>
      </c>
      <c r="G158" s="8" t="s">
        <v>490</v>
      </c>
      <c r="H158" s="15"/>
      <c r="I158" s="15"/>
      <c r="J158" s="10"/>
      <c r="K158" s="10"/>
      <c r="L158" s="10"/>
      <c r="M158" s="11" t="str">
        <f aca="false">IF(COUNTA(J158:L158)&lt;3,"",IF(COUNTIF(J158:L158,"유지")=3,"채택","제외"))</f>
        <v/>
      </c>
      <c r="N158" s="12"/>
    </row>
    <row r="159" customFormat="false" ht="15" hidden="false" customHeight="false" outlineLevel="0" collapsed="false">
      <c r="A159" s="7" t="n">
        <v>158</v>
      </c>
      <c r="B159" s="7" t="s">
        <v>33</v>
      </c>
      <c r="C159" s="7" t="s">
        <v>281</v>
      </c>
      <c r="D159" s="7" t="s">
        <v>491</v>
      </c>
      <c r="E159" s="8" t="s">
        <v>492</v>
      </c>
      <c r="F159" s="9" t="s">
        <v>493</v>
      </c>
      <c r="G159" s="8" t="s">
        <v>493</v>
      </c>
      <c r="H159" s="15"/>
      <c r="I159" s="15"/>
      <c r="J159" s="10"/>
      <c r="K159" s="10"/>
      <c r="L159" s="10"/>
      <c r="M159" s="11" t="str">
        <f aca="false">IF(COUNTA(J159:L159)&lt;3,"",IF(COUNTIF(J159:L159,"유지")=3,"채택","제외"))</f>
        <v/>
      </c>
      <c r="N159" s="12"/>
    </row>
    <row r="160" customFormat="false" ht="15" hidden="false" customHeight="false" outlineLevel="0" collapsed="false">
      <c r="A160" s="7" t="n">
        <v>159</v>
      </c>
      <c r="B160" s="7" t="s">
        <v>33</v>
      </c>
      <c r="C160" s="7" t="s">
        <v>281</v>
      </c>
      <c r="D160" s="7" t="s">
        <v>494</v>
      </c>
      <c r="E160" s="8" t="s">
        <v>495</v>
      </c>
      <c r="F160" s="9" t="s">
        <v>496</v>
      </c>
      <c r="G160" s="8" t="s">
        <v>496</v>
      </c>
      <c r="H160" s="15"/>
      <c r="I160" s="15"/>
      <c r="J160" s="10"/>
      <c r="K160" s="10"/>
      <c r="L160" s="10"/>
      <c r="M160" s="11" t="str">
        <f aca="false">IF(COUNTA(J160:L160)&lt;3,"",IF(COUNTIF(J160:L160,"유지")=3,"채택","제외"))</f>
        <v/>
      </c>
      <c r="N160" s="12"/>
    </row>
    <row r="161" customFormat="false" ht="15" hidden="false" customHeight="false" outlineLevel="0" collapsed="false">
      <c r="A161" s="7" t="n">
        <v>160</v>
      </c>
      <c r="B161" s="7" t="s">
        <v>33</v>
      </c>
      <c r="C161" s="7" t="s">
        <v>281</v>
      </c>
      <c r="D161" s="7" t="s">
        <v>497</v>
      </c>
      <c r="E161" s="8" t="s">
        <v>498</v>
      </c>
      <c r="F161" s="9" t="s">
        <v>499</v>
      </c>
      <c r="G161" s="8" t="s">
        <v>499</v>
      </c>
      <c r="H161" s="14" t="s">
        <v>500</v>
      </c>
      <c r="I161" s="14" t="s">
        <v>501</v>
      </c>
      <c r="J161" s="10"/>
      <c r="K161" s="10"/>
      <c r="L161" s="10"/>
      <c r="M161" s="11" t="str">
        <f aca="false">IF(COUNTA(J161:L161)&lt;3,"",IF(COUNTIF(J161:L161,"유지")=3,"채택","제외"))</f>
        <v/>
      </c>
      <c r="N161" s="12"/>
    </row>
    <row r="162" customFormat="false" ht="15" hidden="false" customHeight="false" outlineLevel="0" collapsed="false">
      <c r="A162" s="7" t="n">
        <v>161</v>
      </c>
      <c r="B162" s="7" t="s">
        <v>33</v>
      </c>
      <c r="C162" s="7" t="s">
        <v>281</v>
      </c>
      <c r="D162" s="7" t="s">
        <v>502</v>
      </c>
      <c r="E162" s="8" t="s">
        <v>503</v>
      </c>
      <c r="F162" s="9" t="s">
        <v>504</v>
      </c>
      <c r="G162" s="8" t="s">
        <v>504</v>
      </c>
      <c r="H162" s="15"/>
      <c r="I162" s="15"/>
      <c r="J162" s="10"/>
      <c r="K162" s="10"/>
      <c r="L162" s="10"/>
      <c r="M162" s="11" t="str">
        <f aca="false">IF(COUNTA(J162:L162)&lt;3,"",IF(COUNTIF(J162:L162,"유지")=3,"채택","제외"))</f>
        <v/>
      </c>
      <c r="N162" s="12"/>
    </row>
    <row r="163" customFormat="false" ht="15" hidden="false" customHeight="false" outlineLevel="0" collapsed="false">
      <c r="A163" s="7" t="n">
        <v>162</v>
      </c>
      <c r="B163" s="7" t="s">
        <v>33</v>
      </c>
      <c r="C163" s="7" t="s">
        <v>281</v>
      </c>
      <c r="D163" s="7" t="s">
        <v>505</v>
      </c>
      <c r="E163" s="8" t="s">
        <v>282</v>
      </c>
      <c r="F163" s="9" t="s">
        <v>283</v>
      </c>
      <c r="G163" s="8" t="s">
        <v>143</v>
      </c>
      <c r="H163" s="13" t="s">
        <v>87</v>
      </c>
      <c r="I163" s="14"/>
      <c r="J163" s="10"/>
      <c r="K163" s="10"/>
      <c r="L163" s="10"/>
      <c r="M163" s="11" t="str">
        <f aca="false">IF(COUNTA(J163:L163)&lt;3,"",IF(COUNTIF(J163:L163,"유지")=3,"채택","제외"))</f>
        <v/>
      </c>
      <c r="N163" s="12"/>
    </row>
    <row r="164" customFormat="false" ht="15" hidden="false" customHeight="false" outlineLevel="0" collapsed="false">
      <c r="A164" s="7" t="n">
        <v>163</v>
      </c>
      <c r="B164" s="7" t="s">
        <v>33</v>
      </c>
      <c r="C164" s="7" t="s">
        <v>281</v>
      </c>
      <c r="D164" s="7" t="s">
        <v>506</v>
      </c>
      <c r="E164" s="8" t="s">
        <v>232</v>
      </c>
      <c r="F164" s="9" t="s">
        <v>233</v>
      </c>
      <c r="G164" s="8" t="s">
        <v>233</v>
      </c>
      <c r="H164" s="13" t="s">
        <v>87</v>
      </c>
      <c r="I164" s="14" t="s">
        <v>234</v>
      </c>
      <c r="J164" s="10"/>
      <c r="K164" s="10"/>
      <c r="L164" s="10"/>
      <c r="M164" s="11" t="str">
        <f aca="false">IF(COUNTA(J164:L164)&lt;3,"",IF(COUNTIF(J164:L164,"유지")=3,"채택","제외"))</f>
        <v/>
      </c>
      <c r="N164" s="12"/>
    </row>
    <row r="165" customFormat="false" ht="15" hidden="false" customHeight="false" outlineLevel="0" collapsed="false">
      <c r="A165" s="7" t="n">
        <v>164</v>
      </c>
      <c r="B165" s="7" t="s">
        <v>33</v>
      </c>
      <c r="C165" s="7" t="s">
        <v>281</v>
      </c>
      <c r="D165" s="7" t="s">
        <v>507</v>
      </c>
      <c r="E165" s="8" t="s">
        <v>508</v>
      </c>
      <c r="F165" s="9" t="s">
        <v>509</v>
      </c>
      <c r="G165" s="8" t="s">
        <v>509</v>
      </c>
      <c r="H165" s="15"/>
      <c r="I165" s="15"/>
      <c r="J165" s="10"/>
      <c r="K165" s="10"/>
      <c r="L165" s="10"/>
      <c r="M165" s="11" t="str">
        <f aca="false">IF(COUNTA(J165:L165)&lt;3,"",IF(COUNTIF(J165:L165,"유지")=3,"채택","제외"))</f>
        <v/>
      </c>
      <c r="N165" s="12"/>
    </row>
    <row r="166" customFormat="false" ht="15" hidden="false" customHeight="false" outlineLevel="0" collapsed="false">
      <c r="A166" s="7" t="n">
        <v>165</v>
      </c>
      <c r="B166" s="7" t="s">
        <v>33</v>
      </c>
      <c r="C166" s="7" t="s">
        <v>281</v>
      </c>
      <c r="D166" s="7" t="s">
        <v>510</v>
      </c>
      <c r="E166" s="8" t="s">
        <v>511</v>
      </c>
      <c r="F166" s="9" t="s">
        <v>512</v>
      </c>
      <c r="G166" s="8" t="s">
        <v>512</v>
      </c>
      <c r="H166" s="15"/>
      <c r="I166" s="15"/>
      <c r="J166" s="10"/>
      <c r="K166" s="10"/>
      <c r="L166" s="10"/>
      <c r="M166" s="11" t="str">
        <f aca="false">IF(COUNTA(J166:L166)&lt;3,"",IF(COUNTIF(J166:L166,"유지")=3,"채택","제외"))</f>
        <v/>
      </c>
      <c r="N166" s="12"/>
    </row>
    <row r="167" customFormat="false" ht="15" hidden="false" customHeight="false" outlineLevel="0" collapsed="false">
      <c r="A167" s="7" t="n">
        <v>166</v>
      </c>
      <c r="B167" s="7" t="s">
        <v>33</v>
      </c>
      <c r="C167" s="7" t="s">
        <v>281</v>
      </c>
      <c r="D167" s="7" t="s">
        <v>510</v>
      </c>
      <c r="E167" s="8" t="s">
        <v>513</v>
      </c>
      <c r="F167" s="9" t="s">
        <v>514</v>
      </c>
      <c r="G167" s="8" t="s">
        <v>514</v>
      </c>
      <c r="H167" s="15"/>
      <c r="I167" s="15"/>
      <c r="J167" s="10"/>
      <c r="K167" s="10"/>
      <c r="L167" s="10"/>
      <c r="M167" s="11" t="str">
        <f aca="false">IF(COUNTA(J167:L167)&lt;3,"",IF(COUNTIF(J167:L167,"유지")=3,"채택","제외"))</f>
        <v/>
      </c>
      <c r="N167" s="12"/>
    </row>
    <row r="168" customFormat="false" ht="15" hidden="false" customHeight="false" outlineLevel="0" collapsed="false">
      <c r="A168" s="7" t="n">
        <v>167</v>
      </c>
      <c r="B168" s="7" t="s">
        <v>33</v>
      </c>
      <c r="C168" s="7" t="s">
        <v>281</v>
      </c>
      <c r="D168" s="7" t="s">
        <v>515</v>
      </c>
      <c r="E168" s="8" t="s">
        <v>516</v>
      </c>
      <c r="F168" s="9" t="s">
        <v>517</v>
      </c>
      <c r="G168" s="8" t="s">
        <v>517</v>
      </c>
      <c r="H168" s="13" t="s">
        <v>518</v>
      </c>
      <c r="I168" s="14"/>
      <c r="J168" s="10"/>
      <c r="K168" s="10"/>
      <c r="L168" s="10"/>
      <c r="M168" s="11" t="str">
        <f aca="false">IF(COUNTA(J168:L168)&lt;3,"",IF(COUNTIF(J168:L168,"유지")=3,"채택","제외"))</f>
        <v/>
      </c>
      <c r="N168" s="12"/>
    </row>
    <row r="169" customFormat="false" ht="15" hidden="false" customHeight="false" outlineLevel="0" collapsed="false">
      <c r="A169" s="7" t="n">
        <v>168</v>
      </c>
      <c r="B169" s="7" t="s">
        <v>33</v>
      </c>
      <c r="C169" s="7" t="s">
        <v>281</v>
      </c>
      <c r="D169" s="7" t="s">
        <v>519</v>
      </c>
      <c r="E169" s="8" t="s">
        <v>520</v>
      </c>
      <c r="F169" s="9" t="s">
        <v>521</v>
      </c>
      <c r="G169" s="8" t="s">
        <v>521</v>
      </c>
      <c r="H169" s="15"/>
      <c r="I169" s="15"/>
      <c r="J169" s="10"/>
      <c r="K169" s="10"/>
      <c r="L169" s="10"/>
      <c r="M169" s="11" t="str">
        <f aca="false">IF(COUNTA(J169:L169)&lt;3,"",IF(COUNTIF(J169:L169,"유지")=3,"채택","제외"))</f>
        <v/>
      </c>
      <c r="N169" s="12"/>
    </row>
    <row r="170" customFormat="false" ht="15" hidden="false" customHeight="false" outlineLevel="0" collapsed="false">
      <c r="A170" s="7" t="n">
        <v>169</v>
      </c>
      <c r="B170" s="7" t="s">
        <v>33</v>
      </c>
      <c r="C170" s="7" t="s">
        <v>281</v>
      </c>
      <c r="D170" s="7" t="s">
        <v>522</v>
      </c>
      <c r="E170" s="8" t="s">
        <v>523</v>
      </c>
      <c r="F170" s="9" t="s">
        <v>524</v>
      </c>
      <c r="G170" s="8" t="s">
        <v>524</v>
      </c>
      <c r="H170" s="15"/>
      <c r="I170" s="15"/>
      <c r="J170" s="10"/>
      <c r="K170" s="10"/>
      <c r="L170" s="10"/>
      <c r="M170" s="11" t="str">
        <f aca="false">IF(COUNTA(J170:L170)&lt;3,"",IF(COUNTIF(J170:L170,"유지")=3,"채택","제외"))</f>
        <v/>
      </c>
      <c r="N170" s="12"/>
    </row>
    <row r="171" customFormat="false" ht="15" hidden="false" customHeight="false" outlineLevel="0" collapsed="false">
      <c r="A171" s="7" t="n">
        <v>170</v>
      </c>
      <c r="B171" s="7" t="s">
        <v>33</v>
      </c>
      <c r="C171" s="7" t="s">
        <v>281</v>
      </c>
      <c r="D171" s="7" t="s">
        <v>525</v>
      </c>
      <c r="E171" s="8" t="s">
        <v>526</v>
      </c>
      <c r="F171" s="9" t="s">
        <v>527</v>
      </c>
      <c r="G171" s="8" t="s">
        <v>527</v>
      </c>
      <c r="H171" s="13" t="s">
        <v>56</v>
      </c>
      <c r="I171" s="14" t="s">
        <v>528</v>
      </c>
      <c r="J171" s="10"/>
      <c r="K171" s="10"/>
      <c r="L171" s="10"/>
      <c r="M171" s="11" t="str">
        <f aca="false">IF(COUNTA(J171:L171)&lt;3,"",IF(COUNTIF(J171:L171,"유지")=3,"채택","제외"))</f>
        <v/>
      </c>
      <c r="N171" s="12"/>
    </row>
    <row r="172" customFormat="false" ht="15" hidden="false" customHeight="false" outlineLevel="0" collapsed="false">
      <c r="A172" s="7" t="n">
        <v>171</v>
      </c>
      <c r="B172" s="7" t="s">
        <v>33</v>
      </c>
      <c r="C172" s="7" t="s">
        <v>281</v>
      </c>
      <c r="D172" s="7" t="s">
        <v>525</v>
      </c>
      <c r="E172" s="8" t="s">
        <v>245</v>
      </c>
      <c r="F172" s="9" t="s">
        <v>246</v>
      </c>
      <c r="G172" s="8" t="s">
        <v>246</v>
      </c>
      <c r="H172" s="13" t="s">
        <v>87</v>
      </c>
      <c r="I172" s="13" t="s">
        <v>247</v>
      </c>
      <c r="J172" s="10"/>
      <c r="K172" s="10"/>
      <c r="L172" s="10"/>
      <c r="M172" s="11" t="str">
        <f aca="false">IF(COUNTA(J172:L172)&lt;3,"",IF(COUNTIF(J172:L172,"유지")=3,"채택","제외"))</f>
        <v/>
      </c>
      <c r="N172" s="12"/>
    </row>
    <row r="173" customFormat="false" ht="15" hidden="false" customHeight="false" outlineLevel="0" collapsed="false">
      <c r="A173" s="7" t="n">
        <v>172</v>
      </c>
      <c r="B173" s="7" t="s">
        <v>33</v>
      </c>
      <c r="C173" s="7" t="s">
        <v>281</v>
      </c>
      <c r="D173" s="7" t="s">
        <v>529</v>
      </c>
      <c r="E173" s="8" t="s">
        <v>516</v>
      </c>
      <c r="F173" s="9" t="s">
        <v>517</v>
      </c>
      <c r="G173" s="8" t="s">
        <v>517</v>
      </c>
      <c r="H173" s="13" t="s">
        <v>518</v>
      </c>
      <c r="I173" s="14"/>
      <c r="J173" s="10"/>
      <c r="K173" s="10"/>
      <c r="L173" s="10"/>
      <c r="M173" s="11" t="str">
        <f aca="false">IF(COUNTA(J173:L173)&lt;3,"",IF(COUNTIF(J173:L173,"유지")=3,"채택","제외"))</f>
        <v/>
      </c>
      <c r="N173" s="12"/>
    </row>
    <row r="174" customFormat="false" ht="15" hidden="false" customHeight="false" outlineLevel="0" collapsed="false">
      <c r="A174" s="7" t="n">
        <v>173</v>
      </c>
      <c r="B174" s="7" t="s">
        <v>33</v>
      </c>
      <c r="C174" s="7" t="s">
        <v>281</v>
      </c>
      <c r="D174" s="7" t="s">
        <v>530</v>
      </c>
      <c r="E174" s="8" t="s">
        <v>531</v>
      </c>
      <c r="F174" s="9" t="s">
        <v>532</v>
      </c>
      <c r="G174" s="8" t="s">
        <v>532</v>
      </c>
      <c r="H174" s="15"/>
      <c r="I174" s="15"/>
      <c r="J174" s="10"/>
      <c r="K174" s="10"/>
      <c r="L174" s="10"/>
      <c r="M174" s="11" t="str">
        <f aca="false">IF(COUNTA(J174:L174)&lt;3,"",IF(COUNTIF(J174:L174,"유지")=3,"채택","제외"))</f>
        <v/>
      </c>
      <c r="N174" s="12"/>
    </row>
    <row r="175" customFormat="false" ht="15" hidden="false" customHeight="false" outlineLevel="0" collapsed="false">
      <c r="A175" s="7" t="n">
        <v>174</v>
      </c>
      <c r="B175" s="7" t="s">
        <v>33</v>
      </c>
      <c r="C175" s="7" t="s">
        <v>281</v>
      </c>
      <c r="D175" s="7" t="s">
        <v>533</v>
      </c>
      <c r="E175" s="8" t="s">
        <v>534</v>
      </c>
      <c r="F175" s="9" t="s">
        <v>535</v>
      </c>
      <c r="G175" s="8" t="s">
        <v>535</v>
      </c>
      <c r="H175" s="14" t="s">
        <v>500</v>
      </c>
      <c r="I175" s="14"/>
      <c r="J175" s="10"/>
      <c r="K175" s="10"/>
      <c r="L175" s="10"/>
      <c r="M175" s="11" t="str">
        <f aca="false">IF(COUNTA(J175:L175)&lt;3,"",IF(COUNTIF(J175:L175,"유지")=3,"채택","제외"))</f>
        <v/>
      </c>
      <c r="N175" s="12"/>
    </row>
    <row r="176" customFormat="false" ht="15" hidden="false" customHeight="false" outlineLevel="0" collapsed="false">
      <c r="A176" s="7" t="n">
        <v>175</v>
      </c>
      <c r="B176" s="7" t="s">
        <v>33</v>
      </c>
      <c r="C176" s="7" t="s">
        <v>281</v>
      </c>
      <c r="D176" s="7" t="s">
        <v>533</v>
      </c>
      <c r="E176" s="8" t="s">
        <v>434</v>
      </c>
      <c r="F176" s="9" t="s">
        <v>435</v>
      </c>
      <c r="G176" s="8" t="s">
        <v>435</v>
      </c>
      <c r="H176" s="13" t="s">
        <v>87</v>
      </c>
      <c r="I176" s="14"/>
      <c r="J176" s="10"/>
      <c r="K176" s="10"/>
      <c r="L176" s="10"/>
      <c r="M176" s="11" t="str">
        <f aca="false">IF(COUNTA(J176:L176)&lt;3,"",IF(COUNTIF(J176:L176,"유지")=3,"채택","제외"))</f>
        <v/>
      </c>
      <c r="N176" s="12"/>
    </row>
    <row r="177" customFormat="false" ht="15" hidden="false" customHeight="false" outlineLevel="0" collapsed="false">
      <c r="A177" s="7" t="n">
        <v>176</v>
      </c>
      <c r="B177" s="7" t="s">
        <v>33</v>
      </c>
      <c r="C177" s="7" t="s">
        <v>281</v>
      </c>
      <c r="D177" s="7" t="s">
        <v>536</v>
      </c>
      <c r="E177" s="8" t="s">
        <v>537</v>
      </c>
      <c r="F177" s="9" t="s">
        <v>538</v>
      </c>
      <c r="G177" s="8" t="s">
        <v>538</v>
      </c>
      <c r="H177" s="15"/>
      <c r="I177" s="15"/>
      <c r="J177" s="10"/>
      <c r="K177" s="10"/>
      <c r="L177" s="10"/>
      <c r="M177" s="11" t="str">
        <f aca="false">IF(COUNTA(J177:L177)&lt;3,"",IF(COUNTIF(J177:L177,"유지")=3,"채택","제외"))</f>
        <v/>
      </c>
      <c r="N177" s="12"/>
    </row>
    <row r="178" customFormat="false" ht="15" hidden="false" customHeight="false" outlineLevel="0" collapsed="false">
      <c r="A178" s="7" t="n">
        <v>177</v>
      </c>
      <c r="B178" s="7" t="s">
        <v>33</v>
      </c>
      <c r="C178" s="7" t="s">
        <v>281</v>
      </c>
      <c r="D178" s="7" t="s">
        <v>539</v>
      </c>
      <c r="E178" s="8" t="s">
        <v>540</v>
      </c>
      <c r="F178" s="9" t="s">
        <v>541</v>
      </c>
      <c r="G178" s="8" t="s">
        <v>541</v>
      </c>
      <c r="H178" s="14"/>
      <c r="I178" s="14" t="s">
        <v>542</v>
      </c>
      <c r="J178" s="10"/>
      <c r="K178" s="10"/>
      <c r="L178" s="10"/>
      <c r="M178" s="11" t="str">
        <f aca="false">IF(COUNTA(J178:L178)&lt;3,"",IF(COUNTIF(J178:L178,"유지")=3,"채택","제외"))</f>
        <v/>
      </c>
      <c r="N178" s="12"/>
    </row>
    <row r="179" customFormat="false" ht="15" hidden="false" customHeight="false" outlineLevel="0" collapsed="false">
      <c r="A179" s="7" t="n">
        <v>178</v>
      </c>
      <c r="B179" s="7" t="s">
        <v>33</v>
      </c>
      <c r="C179" s="7" t="s">
        <v>281</v>
      </c>
      <c r="D179" s="7" t="s">
        <v>543</v>
      </c>
      <c r="E179" s="8" t="s">
        <v>544</v>
      </c>
      <c r="F179" s="9" t="s">
        <v>545</v>
      </c>
      <c r="G179" s="8" t="s">
        <v>546</v>
      </c>
      <c r="H179" s="13" t="s">
        <v>74</v>
      </c>
      <c r="I179" s="14"/>
      <c r="J179" s="10"/>
      <c r="K179" s="10"/>
      <c r="L179" s="10"/>
      <c r="M179" s="11" t="str">
        <f aca="false">IF(COUNTA(J179:L179)&lt;3,"",IF(COUNTIF(J179:L179,"유지")=3,"채택","제외"))</f>
        <v/>
      </c>
      <c r="N179" s="12"/>
    </row>
    <row r="180" customFormat="false" ht="15" hidden="false" customHeight="false" outlineLevel="0" collapsed="false">
      <c r="A180" s="7" t="n">
        <v>179</v>
      </c>
      <c r="B180" s="7" t="s">
        <v>33</v>
      </c>
      <c r="C180" s="7" t="s">
        <v>281</v>
      </c>
      <c r="D180" s="7" t="s">
        <v>547</v>
      </c>
      <c r="E180" s="8" t="s">
        <v>548</v>
      </c>
      <c r="F180" s="9" t="s">
        <v>549</v>
      </c>
      <c r="G180" s="8" t="s">
        <v>549</v>
      </c>
      <c r="H180" s="15"/>
      <c r="I180" s="15"/>
      <c r="J180" s="10"/>
      <c r="K180" s="10"/>
      <c r="L180" s="10"/>
      <c r="M180" s="11" t="str">
        <f aca="false">IF(COUNTA(J180:L180)&lt;3,"",IF(COUNTIF(J180:L180,"유지")=3,"채택","제외"))</f>
        <v/>
      </c>
      <c r="N180" s="12"/>
    </row>
    <row r="181" customFormat="false" ht="15" hidden="false" customHeight="false" outlineLevel="0" collapsed="false">
      <c r="A181" s="7" t="n">
        <v>180</v>
      </c>
      <c r="B181" s="7" t="s">
        <v>33</v>
      </c>
      <c r="C181" s="7" t="s">
        <v>281</v>
      </c>
      <c r="D181" s="7" t="s">
        <v>550</v>
      </c>
      <c r="E181" s="8" t="s">
        <v>551</v>
      </c>
      <c r="F181" s="9" t="s">
        <v>552</v>
      </c>
      <c r="G181" s="8" t="s">
        <v>552</v>
      </c>
      <c r="H181" s="13" t="s">
        <v>56</v>
      </c>
      <c r="I181" s="14" t="s">
        <v>553</v>
      </c>
      <c r="J181" s="10"/>
      <c r="K181" s="10"/>
      <c r="L181" s="10"/>
      <c r="M181" s="11" t="str">
        <f aca="false">IF(COUNTA(J181:L181)&lt;3,"",IF(COUNTIF(J181:L181,"유지")=3,"채택","제외"))</f>
        <v/>
      </c>
      <c r="N181" s="12"/>
    </row>
    <row r="182" customFormat="false" ht="15" hidden="false" customHeight="false" outlineLevel="0" collapsed="false">
      <c r="A182" s="7" t="n">
        <v>181</v>
      </c>
      <c r="B182" s="7" t="s">
        <v>33</v>
      </c>
      <c r="C182" s="7" t="s">
        <v>281</v>
      </c>
      <c r="D182" s="7" t="s">
        <v>554</v>
      </c>
      <c r="E182" s="8" t="s">
        <v>555</v>
      </c>
      <c r="F182" s="9" t="s">
        <v>556</v>
      </c>
      <c r="G182" s="8" t="s">
        <v>556</v>
      </c>
      <c r="H182" s="15"/>
      <c r="I182" s="15"/>
      <c r="J182" s="10"/>
      <c r="K182" s="10"/>
      <c r="L182" s="10"/>
      <c r="M182" s="11" t="str">
        <f aca="false">IF(COUNTA(J182:L182)&lt;3,"",IF(COUNTIF(J182:L182,"유지")=3,"채택","제외"))</f>
        <v/>
      </c>
      <c r="N182" s="12"/>
    </row>
    <row r="183" customFormat="false" ht="15" hidden="false" customHeight="false" outlineLevel="0" collapsed="false">
      <c r="A183" s="7" t="n">
        <v>182</v>
      </c>
      <c r="B183" s="7" t="s">
        <v>33</v>
      </c>
      <c r="C183" s="7" t="s">
        <v>281</v>
      </c>
      <c r="D183" s="7" t="s">
        <v>557</v>
      </c>
      <c r="E183" s="8" t="s">
        <v>558</v>
      </c>
      <c r="F183" s="9" t="s">
        <v>559</v>
      </c>
      <c r="G183" s="8" t="s">
        <v>559</v>
      </c>
      <c r="H183" s="15"/>
      <c r="I183" s="15"/>
      <c r="J183" s="10"/>
      <c r="K183" s="10"/>
      <c r="L183" s="10"/>
      <c r="M183" s="11" t="str">
        <f aca="false">IF(COUNTA(J183:L183)&lt;3,"",IF(COUNTIF(J183:L183,"유지")=3,"채택","제외"))</f>
        <v/>
      </c>
      <c r="N183" s="12"/>
    </row>
    <row r="184" customFormat="false" ht="15" hidden="false" customHeight="false" outlineLevel="0" collapsed="false">
      <c r="A184" s="7" t="n">
        <v>183</v>
      </c>
      <c r="B184" s="7" t="s">
        <v>33</v>
      </c>
      <c r="C184" s="7" t="s">
        <v>281</v>
      </c>
      <c r="D184" s="7" t="s">
        <v>560</v>
      </c>
      <c r="E184" s="8" t="s">
        <v>561</v>
      </c>
      <c r="F184" s="9" t="s">
        <v>562</v>
      </c>
      <c r="G184" s="8" t="s">
        <v>563</v>
      </c>
      <c r="H184" s="13" t="s">
        <v>74</v>
      </c>
      <c r="I184" s="14"/>
      <c r="J184" s="10"/>
      <c r="K184" s="10"/>
      <c r="L184" s="10"/>
      <c r="M184" s="11" t="str">
        <f aca="false">IF(COUNTA(J184:L184)&lt;3,"",IF(COUNTIF(J184:L184,"유지")=3,"채택","제외"))</f>
        <v/>
      </c>
      <c r="N184" s="12"/>
    </row>
    <row r="185" customFormat="false" ht="15" hidden="false" customHeight="false" outlineLevel="0" collapsed="false">
      <c r="A185" s="7" t="n">
        <v>184</v>
      </c>
      <c r="B185" s="7" t="s">
        <v>33</v>
      </c>
      <c r="C185" s="7" t="s">
        <v>281</v>
      </c>
      <c r="D185" s="7" t="s">
        <v>564</v>
      </c>
      <c r="E185" s="8" t="s">
        <v>565</v>
      </c>
      <c r="F185" s="9" t="s">
        <v>566</v>
      </c>
      <c r="G185" s="8" t="s">
        <v>566</v>
      </c>
      <c r="H185" s="15"/>
      <c r="I185" s="15"/>
      <c r="J185" s="10"/>
      <c r="K185" s="10"/>
      <c r="L185" s="10"/>
      <c r="M185" s="11" t="str">
        <f aca="false">IF(COUNTA(J185:L185)&lt;3,"",IF(COUNTIF(J185:L185,"유지")=3,"채택","제외"))</f>
        <v/>
      </c>
      <c r="N185" s="12"/>
    </row>
    <row r="186" customFormat="false" ht="15" hidden="false" customHeight="false" outlineLevel="0" collapsed="false">
      <c r="A186" s="7" t="n">
        <v>185</v>
      </c>
      <c r="B186" s="7" t="s">
        <v>33</v>
      </c>
      <c r="C186" s="7" t="s">
        <v>281</v>
      </c>
      <c r="D186" s="7" t="s">
        <v>564</v>
      </c>
      <c r="E186" s="8" t="s">
        <v>567</v>
      </c>
      <c r="F186" s="9" t="s">
        <v>568</v>
      </c>
      <c r="G186" s="8" t="s">
        <v>568</v>
      </c>
      <c r="H186" s="15"/>
      <c r="I186" s="15"/>
      <c r="J186" s="10"/>
      <c r="K186" s="10"/>
      <c r="L186" s="10"/>
      <c r="M186" s="11" t="str">
        <f aca="false">IF(COUNTA(J186:L186)&lt;3,"",IF(COUNTIF(J186:L186,"유지")=3,"채택","제외"))</f>
        <v/>
      </c>
      <c r="N186" s="12"/>
    </row>
    <row r="187" customFormat="false" ht="15" hidden="false" customHeight="false" outlineLevel="0" collapsed="false">
      <c r="A187" s="7" t="n">
        <v>186</v>
      </c>
      <c r="B187" s="7" t="s">
        <v>33</v>
      </c>
      <c r="C187" s="7" t="s">
        <v>281</v>
      </c>
      <c r="D187" s="7" t="s">
        <v>569</v>
      </c>
      <c r="E187" s="8" t="s">
        <v>570</v>
      </c>
      <c r="F187" s="9" t="s">
        <v>571</v>
      </c>
      <c r="G187" s="8" t="s">
        <v>572</v>
      </c>
      <c r="H187" s="13" t="s">
        <v>74</v>
      </c>
      <c r="I187" s="14"/>
      <c r="J187" s="10"/>
      <c r="K187" s="10"/>
      <c r="L187" s="10"/>
      <c r="M187" s="11" t="str">
        <f aca="false">IF(COUNTA(J187:L187)&lt;3,"",IF(COUNTIF(J187:L187,"유지")=3,"채택","제외"))</f>
        <v/>
      </c>
      <c r="N187" s="12"/>
    </row>
    <row r="188" customFormat="false" ht="15" hidden="false" customHeight="false" outlineLevel="0" collapsed="false">
      <c r="A188" s="7" t="n">
        <v>187</v>
      </c>
      <c r="B188" s="7" t="s">
        <v>33</v>
      </c>
      <c r="C188" s="7" t="s">
        <v>281</v>
      </c>
      <c r="D188" s="7" t="s">
        <v>573</v>
      </c>
      <c r="E188" s="8" t="s">
        <v>574</v>
      </c>
      <c r="F188" s="9" t="s">
        <v>575</v>
      </c>
      <c r="G188" s="8" t="s">
        <v>575</v>
      </c>
      <c r="H188" s="15"/>
      <c r="I188" s="15"/>
      <c r="J188" s="10"/>
      <c r="K188" s="10"/>
      <c r="L188" s="10"/>
      <c r="M188" s="11" t="str">
        <f aca="false">IF(COUNTA(J188:L188)&lt;3,"",IF(COUNTIF(J188:L188,"유지")=3,"채택","제외"))</f>
        <v/>
      </c>
      <c r="N188" s="12"/>
    </row>
    <row r="189" customFormat="false" ht="15" hidden="false" customHeight="false" outlineLevel="0" collapsed="false">
      <c r="A189" s="7" t="n">
        <v>188</v>
      </c>
      <c r="B189" s="7" t="s">
        <v>33</v>
      </c>
      <c r="C189" s="7" t="s">
        <v>281</v>
      </c>
      <c r="D189" s="7" t="s">
        <v>576</v>
      </c>
      <c r="E189" s="8" t="s">
        <v>577</v>
      </c>
      <c r="F189" s="9" t="s">
        <v>578</v>
      </c>
      <c r="G189" s="8" t="s">
        <v>578</v>
      </c>
      <c r="H189" s="15"/>
      <c r="I189" s="15"/>
      <c r="J189" s="10"/>
      <c r="K189" s="10"/>
      <c r="L189" s="10"/>
      <c r="M189" s="11" t="str">
        <f aca="false">IF(COUNTA(J189:L189)&lt;3,"",IF(COUNTIF(J189:L189,"유지")=3,"채택","제외"))</f>
        <v/>
      </c>
      <c r="N189" s="12"/>
    </row>
    <row r="190" customFormat="false" ht="15" hidden="false" customHeight="false" outlineLevel="0" collapsed="false">
      <c r="A190" s="7" t="n">
        <v>189</v>
      </c>
      <c r="B190" s="7" t="s">
        <v>33</v>
      </c>
      <c r="C190" s="7" t="s">
        <v>281</v>
      </c>
      <c r="D190" s="7" t="s">
        <v>579</v>
      </c>
      <c r="E190" s="8" t="s">
        <v>580</v>
      </c>
      <c r="F190" s="9" t="s">
        <v>581</v>
      </c>
      <c r="G190" s="8" t="s">
        <v>581</v>
      </c>
      <c r="H190" s="15"/>
      <c r="I190" s="15"/>
      <c r="J190" s="10"/>
      <c r="K190" s="10"/>
      <c r="L190" s="10"/>
      <c r="M190" s="11" t="str">
        <f aca="false">IF(COUNTA(J190:L190)&lt;3,"",IF(COUNTIF(J190:L190,"유지")=3,"채택","제외"))</f>
        <v/>
      </c>
      <c r="N190" s="12"/>
    </row>
    <row r="191" customFormat="false" ht="15" hidden="false" customHeight="false" outlineLevel="0" collapsed="false">
      <c r="A191" s="7" t="n">
        <v>190</v>
      </c>
      <c r="B191" s="7" t="s">
        <v>33</v>
      </c>
      <c r="C191" s="7" t="s">
        <v>281</v>
      </c>
      <c r="D191" s="7" t="s">
        <v>582</v>
      </c>
      <c r="E191" s="8" t="s">
        <v>583</v>
      </c>
      <c r="F191" s="9" t="s">
        <v>584</v>
      </c>
      <c r="G191" s="8" t="s">
        <v>584</v>
      </c>
      <c r="H191" s="15"/>
      <c r="I191" s="15"/>
      <c r="J191" s="10"/>
      <c r="K191" s="10"/>
      <c r="L191" s="10"/>
      <c r="M191" s="11" t="str">
        <f aca="false">IF(COUNTA(J191:L191)&lt;3,"",IF(COUNTIF(J191:L191,"유지")=3,"채택","제외"))</f>
        <v/>
      </c>
      <c r="N191" s="12"/>
    </row>
    <row r="192" customFormat="false" ht="15" hidden="false" customHeight="false" outlineLevel="0" collapsed="false">
      <c r="A192" s="7" t="n">
        <v>191</v>
      </c>
      <c r="B192" s="7" t="s">
        <v>33</v>
      </c>
      <c r="C192" s="7" t="s">
        <v>585</v>
      </c>
      <c r="D192" s="7" t="s">
        <v>585</v>
      </c>
      <c r="E192" s="8" t="s">
        <v>586</v>
      </c>
      <c r="F192" s="9" t="s">
        <v>587</v>
      </c>
      <c r="G192" s="8" t="s">
        <v>587</v>
      </c>
      <c r="H192" s="15"/>
      <c r="I192" s="15"/>
      <c r="J192" s="10"/>
      <c r="K192" s="10"/>
      <c r="L192" s="10"/>
      <c r="M192" s="11" t="str">
        <f aca="false">IF(COUNTA(J192:L192)&lt;3,"",IF(COUNTIF(J192:L192,"유지")=3,"채택","제외"))</f>
        <v/>
      </c>
      <c r="N192" s="12"/>
    </row>
    <row r="193" customFormat="false" ht="15" hidden="false" customHeight="false" outlineLevel="0" collapsed="false">
      <c r="A193" s="7" t="n">
        <v>192</v>
      </c>
      <c r="B193" s="7" t="s">
        <v>33</v>
      </c>
      <c r="C193" s="7" t="s">
        <v>585</v>
      </c>
      <c r="D193" s="7" t="s">
        <v>585</v>
      </c>
      <c r="E193" s="8" t="s">
        <v>588</v>
      </c>
      <c r="F193" s="9" t="s">
        <v>589</v>
      </c>
      <c r="G193" s="8" t="s">
        <v>589</v>
      </c>
      <c r="H193" s="15"/>
      <c r="I193" s="15"/>
      <c r="J193" s="10"/>
      <c r="K193" s="10"/>
      <c r="L193" s="10"/>
      <c r="M193" s="11" t="str">
        <f aca="false">IF(COUNTA(J193:L193)&lt;3,"",IF(COUNTIF(J193:L193,"유지")=3,"채택","제외"))</f>
        <v/>
      </c>
      <c r="N193" s="12"/>
    </row>
    <row r="194" customFormat="false" ht="15" hidden="false" customHeight="false" outlineLevel="0" collapsed="false">
      <c r="A194" s="7" t="n">
        <v>193</v>
      </c>
      <c r="B194" s="7" t="s">
        <v>33</v>
      </c>
      <c r="C194" s="7" t="s">
        <v>585</v>
      </c>
      <c r="D194" s="7" t="s">
        <v>590</v>
      </c>
      <c r="E194" s="8" t="s">
        <v>591</v>
      </c>
      <c r="F194" s="9" t="s">
        <v>592</v>
      </c>
      <c r="G194" s="8" t="s">
        <v>592</v>
      </c>
      <c r="H194" s="15"/>
      <c r="I194" s="15"/>
      <c r="J194" s="10"/>
      <c r="K194" s="10"/>
      <c r="L194" s="10"/>
      <c r="M194" s="11" t="str">
        <f aca="false">IF(COUNTA(J194:L194)&lt;3,"",IF(COUNTIF(J194:L194,"유지")=3,"채택","제외"))</f>
        <v/>
      </c>
      <c r="N194" s="12"/>
    </row>
    <row r="195" customFormat="false" ht="15" hidden="false" customHeight="false" outlineLevel="0" collapsed="false">
      <c r="A195" s="7" t="n">
        <v>194</v>
      </c>
      <c r="B195" s="7" t="s">
        <v>33</v>
      </c>
      <c r="C195" s="7" t="s">
        <v>585</v>
      </c>
      <c r="D195" s="7" t="s">
        <v>593</v>
      </c>
      <c r="E195" s="8" t="s">
        <v>594</v>
      </c>
      <c r="F195" s="9" t="s">
        <v>595</v>
      </c>
      <c r="G195" s="8" t="s">
        <v>595</v>
      </c>
      <c r="H195" s="15"/>
      <c r="I195" s="15"/>
      <c r="J195" s="10"/>
      <c r="K195" s="10"/>
      <c r="L195" s="10"/>
      <c r="M195" s="11" t="str">
        <f aca="false">IF(COUNTA(J195:L195)&lt;3,"",IF(COUNTIF(J195:L195,"유지")=3,"채택","제외"))</f>
        <v/>
      </c>
      <c r="N195" s="12"/>
    </row>
    <row r="196" customFormat="false" ht="15" hidden="false" customHeight="false" outlineLevel="0" collapsed="false">
      <c r="A196" s="7" t="n">
        <v>195</v>
      </c>
      <c r="B196" s="7" t="s">
        <v>33</v>
      </c>
      <c r="C196" s="7" t="s">
        <v>585</v>
      </c>
      <c r="D196" s="7" t="s">
        <v>596</v>
      </c>
      <c r="E196" s="8" t="s">
        <v>597</v>
      </c>
      <c r="F196" s="9" t="s">
        <v>598</v>
      </c>
      <c r="G196" s="8" t="s">
        <v>598</v>
      </c>
      <c r="H196" s="15"/>
      <c r="I196" s="15"/>
      <c r="J196" s="10"/>
      <c r="K196" s="10"/>
      <c r="L196" s="10"/>
      <c r="M196" s="11" t="str">
        <f aca="false">IF(COUNTA(J196:L196)&lt;3,"",IF(COUNTIF(J196:L196,"유지")=3,"채택","제외"))</f>
        <v/>
      </c>
      <c r="N196" s="12"/>
    </row>
    <row r="197" customFormat="false" ht="15" hidden="false" customHeight="false" outlineLevel="0" collapsed="false">
      <c r="A197" s="7" t="n">
        <v>196</v>
      </c>
      <c r="B197" s="7" t="s">
        <v>33</v>
      </c>
      <c r="C197" s="7" t="s">
        <v>585</v>
      </c>
      <c r="D197" s="7" t="s">
        <v>599</v>
      </c>
      <c r="E197" s="8" t="s">
        <v>600</v>
      </c>
      <c r="F197" s="9" t="s">
        <v>601</v>
      </c>
      <c r="G197" s="8" t="s">
        <v>601</v>
      </c>
      <c r="H197" s="15"/>
      <c r="I197" s="15"/>
      <c r="J197" s="10"/>
      <c r="K197" s="10"/>
      <c r="L197" s="10"/>
      <c r="M197" s="11" t="str">
        <f aca="false">IF(COUNTA(J197:L197)&lt;3,"",IF(COUNTIF(J197:L197,"유지")=3,"채택","제외"))</f>
        <v/>
      </c>
      <c r="N197" s="12"/>
    </row>
    <row r="198" customFormat="false" ht="15" hidden="false" customHeight="false" outlineLevel="0" collapsed="false">
      <c r="A198" s="7" t="n">
        <v>197</v>
      </c>
      <c r="B198" s="7" t="s">
        <v>33</v>
      </c>
      <c r="C198" s="7" t="s">
        <v>585</v>
      </c>
      <c r="D198" s="7" t="s">
        <v>602</v>
      </c>
      <c r="E198" s="8" t="s">
        <v>603</v>
      </c>
      <c r="F198" s="9" t="s">
        <v>604</v>
      </c>
      <c r="G198" s="8" t="s">
        <v>604</v>
      </c>
      <c r="H198" s="15"/>
      <c r="I198" s="15"/>
      <c r="J198" s="10"/>
      <c r="K198" s="10"/>
      <c r="L198" s="10"/>
      <c r="M198" s="11" t="str">
        <f aca="false">IF(COUNTA(J198:L198)&lt;3,"",IF(COUNTIF(J198:L198,"유지")=3,"채택","제외"))</f>
        <v/>
      </c>
      <c r="N198" s="12"/>
    </row>
    <row r="199" customFormat="false" ht="15" hidden="false" customHeight="false" outlineLevel="0" collapsed="false">
      <c r="A199" s="7" t="n">
        <v>198</v>
      </c>
      <c r="B199" s="7" t="s">
        <v>33</v>
      </c>
      <c r="C199" s="7" t="s">
        <v>585</v>
      </c>
      <c r="D199" s="7" t="s">
        <v>605</v>
      </c>
      <c r="E199" s="8" t="s">
        <v>606</v>
      </c>
      <c r="F199" s="9" t="s">
        <v>607</v>
      </c>
      <c r="G199" s="8" t="s">
        <v>607</v>
      </c>
      <c r="H199" s="15"/>
      <c r="I199" s="15"/>
      <c r="J199" s="10"/>
      <c r="K199" s="10"/>
      <c r="L199" s="10"/>
      <c r="M199" s="11" t="str">
        <f aca="false">IF(COUNTA(J199:L199)&lt;3,"",IF(COUNTIF(J199:L199,"유지")=3,"채택","제외"))</f>
        <v/>
      </c>
      <c r="N199" s="12"/>
    </row>
    <row r="200" customFormat="false" ht="15" hidden="false" customHeight="false" outlineLevel="0" collapsed="false">
      <c r="A200" s="7" t="n">
        <v>199</v>
      </c>
      <c r="B200" s="7" t="s">
        <v>33</v>
      </c>
      <c r="C200" s="7" t="s">
        <v>585</v>
      </c>
      <c r="D200" s="7" t="s">
        <v>608</v>
      </c>
      <c r="E200" s="8" t="s">
        <v>609</v>
      </c>
      <c r="F200" s="9" t="s">
        <v>610</v>
      </c>
      <c r="G200" s="8" t="s">
        <v>610</v>
      </c>
      <c r="H200" s="15"/>
      <c r="I200" s="15"/>
      <c r="J200" s="10"/>
      <c r="K200" s="10"/>
      <c r="L200" s="10"/>
      <c r="M200" s="11" t="str">
        <f aca="false">IF(COUNTA(J200:L200)&lt;3,"",IF(COUNTIF(J200:L200,"유지")=3,"채택","제외"))</f>
        <v/>
      </c>
      <c r="N200" s="12"/>
    </row>
    <row r="201" customFormat="false" ht="15" hidden="false" customHeight="false" outlineLevel="0" collapsed="false">
      <c r="A201" s="7" t="n">
        <v>200</v>
      </c>
      <c r="B201" s="7" t="s">
        <v>33</v>
      </c>
      <c r="C201" s="7" t="s">
        <v>585</v>
      </c>
      <c r="D201" s="7" t="s">
        <v>611</v>
      </c>
      <c r="E201" s="8" t="s">
        <v>612</v>
      </c>
      <c r="F201" s="9" t="s">
        <v>613</v>
      </c>
      <c r="G201" s="8" t="s">
        <v>613</v>
      </c>
      <c r="H201" s="15"/>
      <c r="I201" s="15"/>
      <c r="J201" s="10"/>
      <c r="K201" s="10"/>
      <c r="L201" s="10"/>
      <c r="M201" s="11" t="str">
        <f aca="false">IF(COUNTA(J201:L201)&lt;3,"",IF(COUNTIF(J201:L201,"유지")=3,"채택","제외"))</f>
        <v/>
      </c>
      <c r="N201" s="12"/>
    </row>
    <row r="202" customFormat="false" ht="15" hidden="false" customHeight="false" outlineLevel="0" collapsed="false">
      <c r="A202" s="7" t="n">
        <v>201</v>
      </c>
      <c r="B202" s="7" t="s">
        <v>33</v>
      </c>
      <c r="C202" s="7" t="s">
        <v>585</v>
      </c>
      <c r="D202" s="7" t="s">
        <v>614</v>
      </c>
      <c r="E202" s="8" t="s">
        <v>615</v>
      </c>
      <c r="F202" s="9" t="s">
        <v>616</v>
      </c>
      <c r="G202" s="8" t="s">
        <v>616</v>
      </c>
      <c r="H202" s="15"/>
      <c r="I202" s="15"/>
      <c r="J202" s="10"/>
      <c r="K202" s="10"/>
      <c r="L202" s="10"/>
      <c r="M202" s="11" t="str">
        <f aca="false">IF(COUNTA(J202:L202)&lt;3,"",IF(COUNTIF(J202:L202,"유지")=3,"채택","제외"))</f>
        <v/>
      </c>
      <c r="N202" s="12"/>
    </row>
    <row r="203" customFormat="false" ht="15" hidden="false" customHeight="false" outlineLevel="0" collapsed="false">
      <c r="A203" s="7" t="n">
        <v>202</v>
      </c>
      <c r="B203" s="7" t="s">
        <v>33</v>
      </c>
      <c r="C203" s="7" t="s">
        <v>585</v>
      </c>
      <c r="D203" s="7" t="s">
        <v>617</v>
      </c>
      <c r="E203" s="8" t="s">
        <v>618</v>
      </c>
      <c r="F203" s="9" t="s">
        <v>619</v>
      </c>
      <c r="G203" s="8" t="s">
        <v>619</v>
      </c>
      <c r="H203" s="15"/>
      <c r="I203" s="15"/>
      <c r="J203" s="10"/>
      <c r="K203" s="10"/>
      <c r="L203" s="10"/>
      <c r="M203" s="11" t="str">
        <f aca="false">IF(COUNTA(J203:L203)&lt;3,"",IF(COUNTIF(J203:L203,"유지")=3,"채택","제외"))</f>
        <v/>
      </c>
      <c r="N203" s="12"/>
    </row>
    <row r="204" customFormat="false" ht="15" hidden="false" customHeight="false" outlineLevel="0" collapsed="false">
      <c r="A204" s="7" t="n">
        <v>203</v>
      </c>
      <c r="B204" s="7" t="s">
        <v>33</v>
      </c>
      <c r="C204" s="7" t="s">
        <v>585</v>
      </c>
      <c r="D204" s="7" t="s">
        <v>620</v>
      </c>
      <c r="E204" s="8" t="s">
        <v>621</v>
      </c>
      <c r="F204" s="9" t="s">
        <v>622</v>
      </c>
      <c r="G204" s="8" t="s">
        <v>622</v>
      </c>
      <c r="H204" s="15"/>
      <c r="I204" s="15"/>
      <c r="J204" s="10"/>
      <c r="K204" s="10"/>
      <c r="L204" s="10"/>
      <c r="M204" s="11" t="str">
        <f aca="false">IF(COUNTA(J204:L204)&lt;3,"",IF(COUNTIF(J204:L204,"유지")=3,"채택","제외"))</f>
        <v/>
      </c>
      <c r="N204" s="12"/>
    </row>
    <row r="205" customFormat="false" ht="15" hidden="false" customHeight="false" outlineLevel="0" collapsed="false">
      <c r="A205" s="7" t="n">
        <v>204</v>
      </c>
      <c r="B205" s="7" t="s">
        <v>33</v>
      </c>
      <c r="C205" s="7" t="s">
        <v>585</v>
      </c>
      <c r="D205" s="7" t="s">
        <v>623</v>
      </c>
      <c r="E205" s="8" t="s">
        <v>624</v>
      </c>
      <c r="F205" s="9" t="s">
        <v>625</v>
      </c>
      <c r="G205" s="8" t="s">
        <v>625</v>
      </c>
      <c r="H205" s="13" t="s">
        <v>74</v>
      </c>
      <c r="I205" s="14"/>
      <c r="J205" s="10"/>
      <c r="K205" s="10"/>
      <c r="L205" s="10"/>
      <c r="M205" s="11" t="str">
        <f aca="false">IF(COUNTA(J205:L205)&lt;3,"",IF(COUNTIF(J205:L205,"유지")=3,"채택","제외"))</f>
        <v/>
      </c>
      <c r="N205" s="12"/>
    </row>
    <row r="206" customFormat="false" ht="15" hidden="false" customHeight="false" outlineLevel="0" collapsed="false">
      <c r="A206" s="7" t="n">
        <v>205</v>
      </c>
      <c r="B206" s="7" t="s">
        <v>33</v>
      </c>
      <c r="C206" s="7" t="s">
        <v>585</v>
      </c>
      <c r="D206" s="7" t="s">
        <v>626</v>
      </c>
      <c r="E206" s="8" t="s">
        <v>627</v>
      </c>
      <c r="F206" s="9" t="s">
        <v>628</v>
      </c>
      <c r="G206" s="8" t="s">
        <v>628</v>
      </c>
      <c r="H206" s="15"/>
      <c r="I206" s="15"/>
      <c r="J206" s="10"/>
      <c r="K206" s="10"/>
      <c r="L206" s="10"/>
      <c r="M206" s="11" t="str">
        <f aca="false">IF(COUNTA(J206:L206)&lt;3,"",IF(COUNTIF(J206:L206,"유지")=3,"채택","제외"))</f>
        <v/>
      </c>
      <c r="N206" s="12"/>
    </row>
    <row r="207" customFormat="false" ht="15" hidden="false" customHeight="false" outlineLevel="0" collapsed="false">
      <c r="A207" s="7" t="n">
        <v>206</v>
      </c>
      <c r="B207" s="7" t="s">
        <v>33</v>
      </c>
      <c r="C207" s="7" t="s">
        <v>585</v>
      </c>
      <c r="D207" s="7" t="s">
        <v>629</v>
      </c>
      <c r="E207" s="8" t="s">
        <v>630</v>
      </c>
      <c r="F207" s="9" t="s">
        <v>631</v>
      </c>
      <c r="G207" s="8" t="s">
        <v>631</v>
      </c>
      <c r="H207" s="15"/>
      <c r="I207" s="15"/>
      <c r="J207" s="10"/>
      <c r="K207" s="10"/>
      <c r="L207" s="10"/>
      <c r="M207" s="11" t="str">
        <f aca="false">IF(COUNTA(J207:L207)&lt;3,"",IF(COUNTIF(J207:L207,"유지")=3,"채택","제외"))</f>
        <v/>
      </c>
      <c r="N207" s="12"/>
    </row>
    <row r="208" customFormat="false" ht="15" hidden="false" customHeight="false" outlineLevel="0" collapsed="false">
      <c r="A208" s="7" t="n">
        <v>207</v>
      </c>
      <c r="B208" s="7" t="s">
        <v>33</v>
      </c>
      <c r="C208" s="7" t="s">
        <v>585</v>
      </c>
      <c r="D208" s="7" t="s">
        <v>632</v>
      </c>
      <c r="E208" s="8" t="s">
        <v>633</v>
      </c>
      <c r="F208" s="9" t="s">
        <v>634</v>
      </c>
      <c r="G208" s="8" t="s">
        <v>634</v>
      </c>
      <c r="H208" s="15"/>
      <c r="I208" s="15"/>
      <c r="J208" s="10"/>
      <c r="K208" s="10"/>
      <c r="L208" s="10"/>
      <c r="M208" s="11" t="str">
        <f aca="false">IF(COUNTA(J208:L208)&lt;3,"",IF(COUNTIF(J208:L208,"유지")=3,"채택","제외"))</f>
        <v/>
      </c>
      <c r="N208" s="12"/>
    </row>
    <row r="209" customFormat="false" ht="15" hidden="false" customHeight="false" outlineLevel="0" collapsed="false">
      <c r="A209" s="7" t="n">
        <v>208</v>
      </c>
      <c r="B209" s="7" t="s">
        <v>33</v>
      </c>
      <c r="C209" s="7" t="s">
        <v>585</v>
      </c>
      <c r="D209" s="7" t="s">
        <v>635</v>
      </c>
      <c r="E209" s="8" t="s">
        <v>636</v>
      </c>
      <c r="F209" s="9" t="s">
        <v>637</v>
      </c>
      <c r="G209" s="8" t="s">
        <v>637</v>
      </c>
      <c r="H209" s="13" t="s">
        <v>87</v>
      </c>
      <c r="I209" s="14"/>
      <c r="J209" s="10"/>
      <c r="K209" s="10"/>
      <c r="L209" s="10"/>
      <c r="M209" s="11" t="str">
        <f aca="false">IF(COUNTA(J209:L209)&lt;3,"",IF(COUNTIF(J209:L209,"유지")=3,"채택","제외"))</f>
        <v/>
      </c>
      <c r="N209" s="12"/>
    </row>
    <row r="210" customFormat="false" ht="15" hidden="false" customHeight="false" outlineLevel="0" collapsed="false">
      <c r="A210" s="7" t="n">
        <v>209</v>
      </c>
      <c r="B210" s="7" t="s">
        <v>33</v>
      </c>
      <c r="C210" s="7" t="s">
        <v>585</v>
      </c>
      <c r="D210" s="7" t="s">
        <v>638</v>
      </c>
      <c r="E210" s="8" t="s">
        <v>639</v>
      </c>
      <c r="F210" s="9" t="s">
        <v>640</v>
      </c>
      <c r="G210" s="8" t="s">
        <v>640</v>
      </c>
      <c r="H210" s="15"/>
      <c r="I210" s="15"/>
      <c r="J210" s="10"/>
      <c r="K210" s="10"/>
      <c r="L210" s="10"/>
      <c r="M210" s="11" t="str">
        <f aca="false">IF(COUNTA(J210:L210)&lt;3,"",IF(COUNTIF(J210:L210,"유지")=3,"채택","제외"))</f>
        <v/>
      </c>
      <c r="N210" s="12"/>
    </row>
    <row r="211" customFormat="false" ht="15" hidden="false" customHeight="false" outlineLevel="0" collapsed="false">
      <c r="A211" s="7" t="n">
        <v>210</v>
      </c>
      <c r="B211" s="7" t="s">
        <v>33</v>
      </c>
      <c r="C211" s="7" t="s">
        <v>585</v>
      </c>
      <c r="D211" s="7" t="s">
        <v>641</v>
      </c>
      <c r="E211" s="8" t="s">
        <v>642</v>
      </c>
      <c r="F211" s="9" t="s">
        <v>643</v>
      </c>
      <c r="G211" s="8" t="s">
        <v>643</v>
      </c>
      <c r="H211" s="15"/>
      <c r="I211" s="15"/>
      <c r="J211" s="10"/>
      <c r="K211" s="10"/>
      <c r="L211" s="10"/>
      <c r="M211" s="11" t="str">
        <f aca="false">IF(COUNTA(J211:L211)&lt;3,"",IF(COUNTIF(J211:L211,"유지")=3,"채택","제외"))</f>
        <v/>
      </c>
      <c r="N211" s="12"/>
    </row>
    <row r="212" customFormat="false" ht="15" hidden="false" customHeight="false" outlineLevel="0" collapsed="false">
      <c r="A212" s="7" t="n">
        <v>211</v>
      </c>
      <c r="B212" s="7" t="s">
        <v>33</v>
      </c>
      <c r="C212" s="7" t="s">
        <v>585</v>
      </c>
      <c r="D212" s="7" t="s">
        <v>644</v>
      </c>
      <c r="E212" s="8" t="s">
        <v>645</v>
      </c>
      <c r="F212" s="9" t="s">
        <v>646</v>
      </c>
      <c r="G212" s="8" t="s">
        <v>646</v>
      </c>
      <c r="H212" s="15"/>
      <c r="I212" s="15"/>
      <c r="J212" s="10"/>
      <c r="K212" s="10"/>
      <c r="L212" s="10"/>
      <c r="M212" s="11" t="str">
        <f aca="false">IF(COUNTA(J212:L212)&lt;3,"",IF(COUNTIF(J212:L212,"유지")=3,"채택","제외"))</f>
        <v/>
      </c>
      <c r="N212" s="12"/>
    </row>
    <row r="213" customFormat="false" ht="29.85" hidden="false" customHeight="false" outlineLevel="0" collapsed="false">
      <c r="A213" s="7" t="n">
        <v>212</v>
      </c>
      <c r="B213" s="7" t="s">
        <v>33</v>
      </c>
      <c r="C213" s="7" t="s">
        <v>585</v>
      </c>
      <c r="D213" s="7" t="s">
        <v>647</v>
      </c>
      <c r="E213" s="8" t="s">
        <v>648</v>
      </c>
      <c r="F213" s="9" t="s">
        <v>649</v>
      </c>
      <c r="G213" s="8" t="s">
        <v>649</v>
      </c>
      <c r="H213" s="13" t="s">
        <v>56</v>
      </c>
      <c r="I213" s="13" t="s">
        <v>650</v>
      </c>
      <c r="J213" s="10"/>
      <c r="K213" s="10"/>
      <c r="L213" s="10"/>
      <c r="M213" s="11" t="str">
        <f aca="false">IF(COUNTA(J213:L213)&lt;3,"",IF(COUNTIF(J213:L213,"유지")=3,"채택","제외"))</f>
        <v/>
      </c>
      <c r="N213" s="12"/>
    </row>
    <row r="214" customFormat="false" ht="15" hidden="false" customHeight="false" outlineLevel="0" collapsed="false">
      <c r="A214" s="7" t="n">
        <v>213</v>
      </c>
      <c r="B214" s="7" t="s">
        <v>33</v>
      </c>
      <c r="C214" s="7" t="s">
        <v>585</v>
      </c>
      <c r="D214" s="7" t="s">
        <v>647</v>
      </c>
      <c r="E214" s="8" t="s">
        <v>651</v>
      </c>
      <c r="F214" s="9" t="s">
        <v>652</v>
      </c>
      <c r="G214" s="8" t="s">
        <v>652</v>
      </c>
      <c r="H214" s="14"/>
      <c r="I214" s="14" t="s">
        <v>653</v>
      </c>
      <c r="J214" s="10"/>
      <c r="K214" s="10"/>
      <c r="L214" s="10"/>
      <c r="M214" s="11" t="str">
        <f aca="false">IF(COUNTA(J214:L214)&lt;3,"",IF(COUNTIF(J214:L214,"유지")=3,"채택","제외"))</f>
        <v/>
      </c>
      <c r="N214" s="12"/>
    </row>
    <row r="215" customFormat="false" ht="15" hidden="false" customHeight="false" outlineLevel="0" collapsed="false">
      <c r="A215" s="7" t="n">
        <v>214</v>
      </c>
      <c r="B215" s="7" t="s">
        <v>33</v>
      </c>
      <c r="C215" s="7" t="s">
        <v>585</v>
      </c>
      <c r="D215" s="7" t="s">
        <v>654</v>
      </c>
      <c r="E215" s="8" t="s">
        <v>655</v>
      </c>
      <c r="F215" s="9" t="s">
        <v>656</v>
      </c>
      <c r="G215" s="8" t="s">
        <v>656</v>
      </c>
      <c r="H215" s="15"/>
      <c r="I215" s="15"/>
      <c r="J215" s="10"/>
      <c r="K215" s="10"/>
      <c r="L215" s="10"/>
      <c r="M215" s="11" t="str">
        <f aca="false">IF(COUNTA(J215:L215)&lt;3,"",IF(COUNTIF(J215:L215,"유지")=3,"채택","제외"))</f>
        <v/>
      </c>
      <c r="N215" s="12"/>
    </row>
    <row r="216" customFormat="false" ht="15" hidden="false" customHeight="false" outlineLevel="0" collapsed="false">
      <c r="A216" s="7" t="n">
        <v>215</v>
      </c>
      <c r="B216" s="7" t="s">
        <v>33</v>
      </c>
      <c r="C216" s="7" t="s">
        <v>585</v>
      </c>
      <c r="D216" s="7" t="s">
        <v>657</v>
      </c>
      <c r="E216" s="8" t="s">
        <v>658</v>
      </c>
      <c r="F216" s="9" t="s">
        <v>659</v>
      </c>
      <c r="G216" s="8" t="s">
        <v>659</v>
      </c>
      <c r="H216" s="15"/>
      <c r="I216" s="15"/>
      <c r="J216" s="10"/>
      <c r="K216" s="10"/>
      <c r="L216" s="10"/>
      <c r="M216" s="11" t="str">
        <f aca="false">IF(COUNTA(J216:L216)&lt;3,"",IF(COUNTIF(J216:L216,"유지")=3,"채택","제외"))</f>
        <v/>
      </c>
      <c r="N216" s="12"/>
    </row>
    <row r="217" customFormat="false" ht="15" hidden="false" customHeight="false" outlineLevel="0" collapsed="false">
      <c r="A217" s="7" t="n">
        <v>216</v>
      </c>
      <c r="B217" s="7" t="s">
        <v>33</v>
      </c>
      <c r="C217" s="7" t="s">
        <v>585</v>
      </c>
      <c r="D217" s="7" t="s">
        <v>660</v>
      </c>
      <c r="E217" s="8" t="s">
        <v>661</v>
      </c>
      <c r="F217" s="9" t="s">
        <v>662</v>
      </c>
      <c r="G217" s="8" t="s">
        <v>663</v>
      </c>
      <c r="H217" s="15"/>
      <c r="I217" s="15"/>
      <c r="J217" s="10"/>
      <c r="K217" s="10"/>
      <c r="L217" s="10"/>
      <c r="M217" s="11" t="str">
        <f aca="false">IF(COUNTA(J217:L217)&lt;3,"",IF(COUNTIF(J217:L217,"유지")=3,"채택","제외"))</f>
        <v/>
      </c>
      <c r="N217" s="12"/>
    </row>
    <row r="218" customFormat="false" ht="15" hidden="false" customHeight="false" outlineLevel="0" collapsed="false">
      <c r="A218" s="7" t="n">
        <v>217</v>
      </c>
      <c r="B218" s="7" t="s">
        <v>33</v>
      </c>
      <c r="C218" s="7" t="s">
        <v>585</v>
      </c>
      <c r="D218" s="7" t="s">
        <v>664</v>
      </c>
      <c r="E218" s="8" t="s">
        <v>665</v>
      </c>
      <c r="F218" s="9" t="s">
        <v>666</v>
      </c>
      <c r="G218" s="8" t="s">
        <v>666</v>
      </c>
      <c r="H218" s="15"/>
      <c r="I218" s="15"/>
      <c r="J218" s="10"/>
      <c r="K218" s="10"/>
      <c r="L218" s="10"/>
      <c r="M218" s="11" t="str">
        <f aca="false">IF(COUNTA(J218:L218)&lt;3,"",IF(COUNTIF(J218:L218,"유지")=3,"채택","제외"))</f>
        <v/>
      </c>
      <c r="N218" s="12"/>
    </row>
    <row r="219" customFormat="false" ht="15" hidden="false" customHeight="false" outlineLevel="0" collapsed="false">
      <c r="A219" s="7" t="n">
        <v>218</v>
      </c>
      <c r="B219" s="7" t="s">
        <v>33</v>
      </c>
      <c r="C219" s="7" t="s">
        <v>585</v>
      </c>
      <c r="D219" s="7" t="s">
        <v>667</v>
      </c>
      <c r="E219" s="8" t="s">
        <v>668</v>
      </c>
      <c r="F219" s="9" t="s">
        <v>669</v>
      </c>
      <c r="G219" s="8" t="s">
        <v>670</v>
      </c>
      <c r="H219" s="15"/>
      <c r="I219" s="15"/>
      <c r="J219" s="10"/>
      <c r="K219" s="10"/>
      <c r="L219" s="10"/>
      <c r="M219" s="11" t="str">
        <f aca="false">IF(COUNTA(J219:L219)&lt;3,"",IF(COUNTIF(J219:L219,"유지")=3,"채택","제외"))</f>
        <v/>
      </c>
      <c r="N219" s="12"/>
    </row>
    <row r="220" customFormat="false" ht="15" hidden="false" customHeight="false" outlineLevel="0" collapsed="false">
      <c r="A220" s="7" t="n">
        <v>219</v>
      </c>
      <c r="B220" s="7" t="s">
        <v>33</v>
      </c>
      <c r="C220" s="7" t="s">
        <v>585</v>
      </c>
      <c r="D220" s="7" t="s">
        <v>671</v>
      </c>
      <c r="E220" s="8" t="s">
        <v>672</v>
      </c>
      <c r="F220" s="9" t="s">
        <v>673</v>
      </c>
      <c r="G220" s="8" t="s">
        <v>673</v>
      </c>
      <c r="H220" s="15"/>
      <c r="I220" s="15"/>
      <c r="J220" s="10"/>
      <c r="K220" s="10"/>
      <c r="L220" s="10"/>
      <c r="M220" s="11" t="str">
        <f aca="false">IF(COUNTA(J220:L220)&lt;3,"",IF(COUNTIF(J220:L220,"유지")=3,"채택","제외"))</f>
        <v/>
      </c>
      <c r="N220" s="12"/>
    </row>
    <row r="221" customFormat="false" ht="15" hidden="false" customHeight="false" outlineLevel="0" collapsed="false">
      <c r="A221" s="7" t="n">
        <v>220</v>
      </c>
      <c r="B221" s="7" t="s">
        <v>33</v>
      </c>
      <c r="C221" s="7" t="s">
        <v>585</v>
      </c>
      <c r="D221" s="7" t="s">
        <v>674</v>
      </c>
      <c r="E221" s="8" t="s">
        <v>675</v>
      </c>
      <c r="F221" s="9" t="s">
        <v>676</v>
      </c>
      <c r="G221" s="8" t="s">
        <v>676</v>
      </c>
      <c r="H221" s="13" t="s">
        <v>87</v>
      </c>
      <c r="I221" s="14"/>
      <c r="J221" s="10"/>
      <c r="K221" s="10"/>
      <c r="L221" s="10"/>
      <c r="M221" s="11" t="str">
        <f aca="false">IF(COUNTA(J221:L221)&lt;3,"",IF(COUNTIF(J221:L221,"유지")=3,"채택","제외"))</f>
        <v/>
      </c>
      <c r="N221" s="12"/>
    </row>
    <row r="222" customFormat="false" ht="15" hidden="false" customHeight="false" outlineLevel="0" collapsed="false">
      <c r="A222" s="7" t="n">
        <v>221</v>
      </c>
      <c r="B222" s="7" t="s">
        <v>33</v>
      </c>
      <c r="C222" s="7" t="s">
        <v>585</v>
      </c>
      <c r="D222" s="7" t="s">
        <v>677</v>
      </c>
      <c r="E222" s="8" t="s">
        <v>678</v>
      </c>
      <c r="F222" s="9" t="s">
        <v>679</v>
      </c>
      <c r="G222" s="8" t="s">
        <v>679</v>
      </c>
      <c r="H222" s="15"/>
      <c r="I222" s="15"/>
      <c r="J222" s="10"/>
      <c r="K222" s="10"/>
      <c r="L222" s="10"/>
      <c r="M222" s="11" t="str">
        <f aca="false">IF(COUNTA(J222:L222)&lt;3,"",IF(COUNTIF(J222:L222,"유지")=3,"채택","제외"))</f>
        <v/>
      </c>
      <c r="N222" s="12"/>
    </row>
    <row r="223" customFormat="false" ht="15" hidden="false" customHeight="false" outlineLevel="0" collapsed="false">
      <c r="A223" s="7" t="n">
        <v>222</v>
      </c>
      <c r="B223" s="7" t="s">
        <v>33</v>
      </c>
      <c r="C223" s="7" t="s">
        <v>585</v>
      </c>
      <c r="D223" s="7" t="s">
        <v>680</v>
      </c>
      <c r="E223" s="8" t="s">
        <v>681</v>
      </c>
      <c r="F223" s="9" t="s">
        <v>682</v>
      </c>
      <c r="G223" s="8" t="s">
        <v>682</v>
      </c>
      <c r="H223" s="15"/>
      <c r="I223" s="15"/>
      <c r="J223" s="10"/>
      <c r="K223" s="10"/>
      <c r="L223" s="10"/>
      <c r="M223" s="11" t="str">
        <f aca="false">IF(COUNTA(J223:L223)&lt;3,"",IF(COUNTIF(J223:L223,"유지")=3,"채택","제외"))</f>
        <v/>
      </c>
      <c r="N223" s="12"/>
    </row>
    <row r="224" customFormat="false" ht="15" hidden="false" customHeight="false" outlineLevel="0" collapsed="false">
      <c r="A224" s="7" t="n">
        <v>223</v>
      </c>
      <c r="B224" s="7" t="s">
        <v>33</v>
      </c>
      <c r="C224" s="7" t="s">
        <v>585</v>
      </c>
      <c r="D224" s="7" t="s">
        <v>683</v>
      </c>
      <c r="E224" s="8" t="s">
        <v>684</v>
      </c>
      <c r="F224" s="9" t="s">
        <v>685</v>
      </c>
      <c r="G224" s="8" t="s">
        <v>685</v>
      </c>
      <c r="H224" s="15"/>
      <c r="I224" s="15"/>
      <c r="J224" s="10"/>
      <c r="K224" s="10"/>
      <c r="L224" s="10"/>
      <c r="M224" s="11" t="str">
        <f aca="false">IF(COUNTA(J224:L224)&lt;3,"",IF(COUNTIF(J224:L224,"유지")=3,"채택","제외"))</f>
        <v/>
      </c>
      <c r="N224" s="12"/>
    </row>
    <row r="225" customFormat="false" ht="15" hidden="false" customHeight="false" outlineLevel="0" collapsed="false">
      <c r="A225" s="7" t="n">
        <v>224</v>
      </c>
      <c r="B225" s="7" t="s">
        <v>33</v>
      </c>
      <c r="C225" s="7" t="s">
        <v>585</v>
      </c>
      <c r="D225" s="7" t="s">
        <v>686</v>
      </c>
      <c r="E225" s="8" t="s">
        <v>687</v>
      </c>
      <c r="F225" s="9" t="s">
        <v>688</v>
      </c>
      <c r="G225" s="8" t="s">
        <v>688</v>
      </c>
      <c r="H225" s="15"/>
      <c r="I225" s="15"/>
      <c r="J225" s="10"/>
      <c r="K225" s="10"/>
      <c r="L225" s="10"/>
      <c r="M225" s="11" t="str">
        <f aca="false">IF(COUNTA(J225:L225)&lt;3,"",IF(COUNTIF(J225:L225,"유지")=3,"채택","제외"))</f>
        <v/>
      </c>
      <c r="N225" s="12"/>
    </row>
    <row r="226" customFormat="false" ht="15" hidden="false" customHeight="false" outlineLevel="0" collapsed="false">
      <c r="A226" s="7" t="n">
        <v>225</v>
      </c>
      <c r="B226" s="7" t="s">
        <v>33</v>
      </c>
      <c r="C226" s="7" t="s">
        <v>585</v>
      </c>
      <c r="D226" s="7" t="s">
        <v>686</v>
      </c>
      <c r="E226" s="8" t="s">
        <v>689</v>
      </c>
      <c r="F226" s="9" t="s">
        <v>690</v>
      </c>
      <c r="G226" s="8" t="s">
        <v>690</v>
      </c>
      <c r="H226" s="15"/>
      <c r="I226" s="15"/>
      <c r="J226" s="10"/>
      <c r="K226" s="10"/>
      <c r="L226" s="10"/>
      <c r="M226" s="11" t="str">
        <f aca="false">IF(COUNTA(J226:L226)&lt;3,"",IF(COUNTIF(J226:L226,"유지")=3,"채택","제외"))</f>
        <v/>
      </c>
      <c r="N226" s="12"/>
    </row>
    <row r="227" customFormat="false" ht="15" hidden="false" customHeight="false" outlineLevel="0" collapsed="false">
      <c r="A227" s="7" t="n">
        <v>226</v>
      </c>
      <c r="B227" s="7" t="s">
        <v>33</v>
      </c>
      <c r="C227" s="7" t="s">
        <v>585</v>
      </c>
      <c r="D227" s="7" t="s">
        <v>691</v>
      </c>
      <c r="E227" s="8" t="s">
        <v>692</v>
      </c>
      <c r="F227" s="9" t="s">
        <v>693</v>
      </c>
      <c r="G227" s="8" t="s">
        <v>693</v>
      </c>
      <c r="H227" s="15"/>
      <c r="I227" s="15"/>
      <c r="J227" s="10"/>
      <c r="K227" s="10"/>
      <c r="L227" s="10"/>
      <c r="M227" s="11" t="str">
        <f aca="false">IF(COUNTA(J227:L227)&lt;3,"",IF(COUNTIF(J227:L227,"유지")=3,"채택","제외"))</f>
        <v/>
      </c>
      <c r="N227" s="12"/>
    </row>
    <row r="228" customFormat="false" ht="15" hidden="false" customHeight="false" outlineLevel="0" collapsed="false">
      <c r="A228" s="7" t="n">
        <v>227</v>
      </c>
      <c r="B228" s="7" t="s">
        <v>33</v>
      </c>
      <c r="C228" s="7" t="s">
        <v>585</v>
      </c>
      <c r="D228" s="7" t="s">
        <v>694</v>
      </c>
      <c r="E228" s="8" t="s">
        <v>695</v>
      </c>
      <c r="F228" s="9" t="s">
        <v>696</v>
      </c>
      <c r="G228" s="8" t="s">
        <v>696</v>
      </c>
      <c r="H228" s="15"/>
      <c r="I228" s="15"/>
      <c r="J228" s="10"/>
      <c r="K228" s="10"/>
      <c r="L228" s="10"/>
      <c r="M228" s="11" t="str">
        <f aca="false">IF(COUNTA(J228:L228)&lt;3,"",IF(COUNTIF(J228:L228,"유지")=3,"채택","제외"))</f>
        <v/>
      </c>
      <c r="N228" s="12"/>
    </row>
    <row r="229" customFormat="false" ht="15" hidden="false" customHeight="false" outlineLevel="0" collapsed="false">
      <c r="A229" s="7" t="n">
        <v>228</v>
      </c>
      <c r="B229" s="7" t="s">
        <v>33</v>
      </c>
      <c r="C229" s="7" t="s">
        <v>585</v>
      </c>
      <c r="D229" s="7" t="s">
        <v>694</v>
      </c>
      <c r="E229" s="8" t="s">
        <v>697</v>
      </c>
      <c r="F229" s="9" t="s">
        <v>698</v>
      </c>
      <c r="G229" s="8" t="s">
        <v>698</v>
      </c>
      <c r="H229" s="13" t="s">
        <v>87</v>
      </c>
      <c r="I229" s="14"/>
      <c r="J229" s="10"/>
      <c r="K229" s="10"/>
      <c r="L229" s="10"/>
      <c r="M229" s="11" t="str">
        <f aca="false">IF(COUNTA(J229:L229)&lt;3,"",IF(COUNTIF(J229:L229,"유지")=3,"채택","제외"))</f>
        <v/>
      </c>
      <c r="N229" s="12"/>
    </row>
    <row r="230" customFormat="false" ht="15" hidden="false" customHeight="false" outlineLevel="0" collapsed="false">
      <c r="A230" s="7" t="n">
        <v>229</v>
      </c>
      <c r="B230" s="7" t="s">
        <v>33</v>
      </c>
      <c r="C230" s="7" t="s">
        <v>585</v>
      </c>
      <c r="D230" s="7" t="s">
        <v>699</v>
      </c>
      <c r="E230" s="8" t="s">
        <v>700</v>
      </c>
      <c r="F230" s="9" t="s">
        <v>701</v>
      </c>
      <c r="G230" s="8" t="s">
        <v>701</v>
      </c>
      <c r="H230" s="15"/>
      <c r="I230" s="15"/>
      <c r="J230" s="10"/>
      <c r="K230" s="10"/>
      <c r="L230" s="10"/>
      <c r="M230" s="11" t="str">
        <f aca="false">IF(COUNTA(J230:L230)&lt;3,"",IF(COUNTIF(J230:L230,"유지")=3,"채택","제외"))</f>
        <v/>
      </c>
      <c r="N230" s="12"/>
    </row>
    <row r="231" customFormat="false" ht="15" hidden="false" customHeight="false" outlineLevel="0" collapsed="false">
      <c r="A231" s="7" t="n">
        <v>230</v>
      </c>
      <c r="B231" s="7" t="s">
        <v>33</v>
      </c>
      <c r="C231" s="7" t="s">
        <v>585</v>
      </c>
      <c r="D231" s="7" t="s">
        <v>702</v>
      </c>
      <c r="E231" s="8" t="s">
        <v>703</v>
      </c>
      <c r="F231" s="9" t="s">
        <v>704</v>
      </c>
      <c r="G231" s="8" t="s">
        <v>704</v>
      </c>
      <c r="H231" s="15"/>
      <c r="I231" s="15"/>
      <c r="J231" s="10"/>
      <c r="K231" s="10"/>
      <c r="L231" s="10"/>
      <c r="M231" s="11" t="str">
        <f aca="false">IF(COUNTA(J231:L231)&lt;3,"",IF(COUNTIF(J231:L231,"유지")=3,"채택","제외"))</f>
        <v/>
      </c>
      <c r="N231" s="12"/>
    </row>
    <row r="232" customFormat="false" ht="15" hidden="false" customHeight="false" outlineLevel="0" collapsed="false">
      <c r="A232" s="7" t="n">
        <v>231</v>
      </c>
      <c r="B232" s="7" t="s">
        <v>33</v>
      </c>
      <c r="C232" s="7" t="s">
        <v>585</v>
      </c>
      <c r="D232" s="7" t="s">
        <v>702</v>
      </c>
      <c r="E232" s="8" t="s">
        <v>705</v>
      </c>
      <c r="F232" s="9" t="s">
        <v>706</v>
      </c>
      <c r="G232" s="8" t="s">
        <v>706</v>
      </c>
      <c r="H232" s="13" t="s">
        <v>87</v>
      </c>
      <c r="I232" s="14"/>
      <c r="J232" s="10"/>
      <c r="K232" s="10"/>
      <c r="L232" s="10"/>
      <c r="M232" s="11" t="str">
        <f aca="false">IF(COUNTA(J232:L232)&lt;3,"",IF(COUNTIF(J232:L232,"유지")=3,"채택","제외"))</f>
        <v/>
      </c>
      <c r="N232" s="12"/>
    </row>
    <row r="233" customFormat="false" ht="15" hidden="false" customHeight="false" outlineLevel="0" collapsed="false">
      <c r="A233" s="7" t="n">
        <v>232</v>
      </c>
      <c r="B233" s="7" t="s">
        <v>33</v>
      </c>
      <c r="C233" s="7" t="s">
        <v>585</v>
      </c>
      <c r="D233" s="7" t="s">
        <v>707</v>
      </c>
      <c r="E233" s="8" t="s">
        <v>708</v>
      </c>
      <c r="F233" s="9" t="s">
        <v>709</v>
      </c>
      <c r="G233" s="8" t="s">
        <v>709</v>
      </c>
      <c r="H233" s="15"/>
      <c r="I233" s="15"/>
      <c r="J233" s="10"/>
      <c r="K233" s="10"/>
      <c r="L233" s="10"/>
      <c r="M233" s="11" t="str">
        <f aca="false">IF(COUNTA(J233:L233)&lt;3,"",IF(COUNTIF(J233:L233,"유지")=3,"채택","제외"))</f>
        <v/>
      </c>
      <c r="N233" s="12"/>
    </row>
    <row r="234" customFormat="false" ht="15" hidden="false" customHeight="false" outlineLevel="0" collapsed="false">
      <c r="A234" s="7" t="n">
        <v>233</v>
      </c>
      <c r="B234" s="7" t="s">
        <v>33</v>
      </c>
      <c r="C234" s="7" t="s">
        <v>585</v>
      </c>
      <c r="D234" s="7" t="s">
        <v>710</v>
      </c>
      <c r="E234" s="8" t="s">
        <v>711</v>
      </c>
      <c r="F234" s="9" t="s">
        <v>712</v>
      </c>
      <c r="G234" s="8" t="s">
        <v>712</v>
      </c>
      <c r="H234" s="15"/>
      <c r="I234" s="15"/>
      <c r="J234" s="10"/>
      <c r="K234" s="10"/>
      <c r="L234" s="10"/>
      <c r="M234" s="11" t="str">
        <f aca="false">IF(COUNTA(J234:L234)&lt;3,"",IF(COUNTIF(J234:L234,"유지")=3,"채택","제외"))</f>
        <v/>
      </c>
      <c r="N234" s="12"/>
    </row>
    <row r="235" customFormat="false" ht="15" hidden="false" customHeight="false" outlineLevel="0" collapsed="false">
      <c r="A235" s="7" t="n">
        <v>234</v>
      </c>
      <c r="B235" s="7" t="s">
        <v>33</v>
      </c>
      <c r="C235" s="7" t="s">
        <v>585</v>
      </c>
      <c r="D235" s="7" t="s">
        <v>710</v>
      </c>
      <c r="E235" s="8" t="s">
        <v>713</v>
      </c>
      <c r="F235" s="9" t="s">
        <v>714</v>
      </c>
      <c r="G235" s="8" t="s">
        <v>714</v>
      </c>
      <c r="H235" s="15"/>
      <c r="I235" s="15"/>
      <c r="J235" s="10"/>
      <c r="K235" s="10"/>
      <c r="L235" s="10"/>
      <c r="M235" s="11" t="str">
        <f aca="false">IF(COUNTA(J235:L235)&lt;3,"",IF(COUNTIF(J235:L235,"유지")=3,"채택","제외"))</f>
        <v/>
      </c>
      <c r="N235" s="12"/>
    </row>
    <row r="236" customFormat="false" ht="15" hidden="false" customHeight="false" outlineLevel="0" collapsed="false">
      <c r="A236" s="7" t="n">
        <v>235</v>
      </c>
      <c r="B236" s="7" t="s">
        <v>33</v>
      </c>
      <c r="C236" s="7" t="s">
        <v>585</v>
      </c>
      <c r="D236" s="7" t="s">
        <v>715</v>
      </c>
      <c r="E236" s="8" t="s">
        <v>716</v>
      </c>
      <c r="F236" s="9" t="s">
        <v>717</v>
      </c>
      <c r="G236" s="8" t="s">
        <v>717</v>
      </c>
      <c r="H236" s="15"/>
      <c r="I236" s="15"/>
      <c r="J236" s="10"/>
      <c r="K236" s="10"/>
      <c r="L236" s="10"/>
      <c r="M236" s="11" t="str">
        <f aca="false">IF(COUNTA(J236:L236)&lt;3,"",IF(COUNTIF(J236:L236,"유지")=3,"채택","제외"))</f>
        <v/>
      </c>
      <c r="N236" s="12"/>
    </row>
    <row r="237" customFormat="false" ht="15" hidden="false" customHeight="false" outlineLevel="0" collapsed="false">
      <c r="A237" s="7" t="n">
        <v>236</v>
      </c>
      <c r="B237" s="7" t="s">
        <v>33</v>
      </c>
      <c r="C237" s="7" t="s">
        <v>585</v>
      </c>
      <c r="D237" s="7" t="s">
        <v>718</v>
      </c>
      <c r="E237" s="8" t="s">
        <v>719</v>
      </c>
      <c r="F237" s="9" t="s">
        <v>720</v>
      </c>
      <c r="G237" s="8" t="s">
        <v>720</v>
      </c>
      <c r="H237" s="15"/>
      <c r="I237" s="15"/>
      <c r="J237" s="10"/>
      <c r="K237" s="10"/>
      <c r="L237" s="10"/>
      <c r="M237" s="11" t="str">
        <f aca="false">IF(COUNTA(J237:L237)&lt;3,"",IF(COUNTIF(J237:L237,"유지")=3,"채택","제외"))</f>
        <v/>
      </c>
      <c r="N237" s="12"/>
    </row>
    <row r="238" customFormat="false" ht="15" hidden="false" customHeight="false" outlineLevel="0" collapsed="false">
      <c r="A238" s="7" t="n">
        <v>237</v>
      </c>
      <c r="B238" s="7" t="s">
        <v>33</v>
      </c>
      <c r="C238" s="7" t="s">
        <v>585</v>
      </c>
      <c r="D238" s="7" t="s">
        <v>721</v>
      </c>
      <c r="E238" s="8" t="s">
        <v>722</v>
      </c>
      <c r="F238" s="9" t="s">
        <v>723</v>
      </c>
      <c r="G238" s="8" t="s">
        <v>723</v>
      </c>
      <c r="H238" s="13" t="s">
        <v>74</v>
      </c>
      <c r="I238" s="14"/>
      <c r="J238" s="10"/>
      <c r="K238" s="10"/>
      <c r="L238" s="10"/>
      <c r="M238" s="11" t="str">
        <f aca="false">IF(COUNTA(J238:L238)&lt;3,"",IF(COUNTIF(J238:L238,"유지")=3,"채택","제외"))</f>
        <v/>
      </c>
      <c r="N238" s="12"/>
    </row>
    <row r="239" customFormat="false" ht="15" hidden="false" customHeight="false" outlineLevel="0" collapsed="false">
      <c r="A239" s="7" t="n">
        <v>238</v>
      </c>
      <c r="B239" s="7" t="s">
        <v>33</v>
      </c>
      <c r="C239" s="7" t="s">
        <v>585</v>
      </c>
      <c r="D239" s="7" t="s">
        <v>724</v>
      </c>
      <c r="E239" s="8" t="s">
        <v>725</v>
      </c>
      <c r="F239" s="9" t="s">
        <v>726</v>
      </c>
      <c r="G239" s="8" t="s">
        <v>726</v>
      </c>
      <c r="H239" s="15"/>
      <c r="I239" s="15"/>
      <c r="J239" s="10"/>
      <c r="K239" s="10"/>
      <c r="L239" s="10"/>
      <c r="M239" s="11" t="str">
        <f aca="false">IF(COUNTA(J239:L239)&lt;3,"",IF(COUNTIF(J239:L239,"유지")=3,"채택","제외"))</f>
        <v/>
      </c>
      <c r="N239" s="12"/>
    </row>
    <row r="240" customFormat="false" ht="15" hidden="false" customHeight="false" outlineLevel="0" collapsed="false">
      <c r="A240" s="7" t="n">
        <v>239</v>
      </c>
      <c r="B240" s="7" t="s">
        <v>33</v>
      </c>
      <c r="C240" s="7" t="s">
        <v>585</v>
      </c>
      <c r="D240" s="7" t="s">
        <v>727</v>
      </c>
      <c r="E240" s="8" t="s">
        <v>728</v>
      </c>
      <c r="F240" s="9" t="s">
        <v>729</v>
      </c>
      <c r="G240" s="8" t="s">
        <v>730</v>
      </c>
      <c r="H240" s="15"/>
      <c r="I240" s="15"/>
      <c r="J240" s="10"/>
      <c r="K240" s="10"/>
      <c r="L240" s="10"/>
      <c r="M240" s="11" t="str">
        <f aca="false">IF(COUNTA(J240:L240)&lt;3,"",IF(COUNTIF(J240:L240,"유지")=3,"채택","제외"))</f>
        <v/>
      </c>
      <c r="N240" s="12"/>
    </row>
    <row r="241" customFormat="false" ht="15" hidden="false" customHeight="false" outlineLevel="0" collapsed="false">
      <c r="A241" s="7" t="n">
        <v>240</v>
      </c>
      <c r="B241" s="7" t="s">
        <v>33</v>
      </c>
      <c r="C241" s="7" t="s">
        <v>585</v>
      </c>
      <c r="D241" s="7" t="s">
        <v>731</v>
      </c>
      <c r="E241" s="8" t="s">
        <v>732</v>
      </c>
      <c r="F241" s="9" t="s">
        <v>733</v>
      </c>
      <c r="G241" s="8" t="s">
        <v>733</v>
      </c>
      <c r="H241" s="15"/>
      <c r="I241" s="15"/>
      <c r="J241" s="10"/>
      <c r="K241" s="10"/>
      <c r="L241" s="10"/>
      <c r="M241" s="11" t="str">
        <f aca="false">IF(COUNTA(J241:L241)&lt;3,"",IF(COUNTIF(J241:L241,"유지")=3,"채택","제외"))</f>
        <v/>
      </c>
      <c r="N241" s="12"/>
    </row>
    <row r="242" customFormat="false" ht="15" hidden="false" customHeight="false" outlineLevel="0" collapsed="false">
      <c r="A242" s="7" t="n">
        <v>241</v>
      </c>
      <c r="B242" s="7" t="s">
        <v>33</v>
      </c>
      <c r="C242" s="7" t="s">
        <v>585</v>
      </c>
      <c r="D242" s="7" t="s">
        <v>734</v>
      </c>
      <c r="E242" s="8" t="s">
        <v>735</v>
      </c>
      <c r="F242" s="9" t="s">
        <v>736</v>
      </c>
      <c r="G242" s="8" t="s">
        <v>736</v>
      </c>
      <c r="H242" s="15"/>
      <c r="I242" s="15"/>
      <c r="J242" s="10"/>
      <c r="K242" s="10"/>
      <c r="L242" s="10"/>
      <c r="M242" s="11" t="str">
        <f aca="false">IF(COUNTA(J242:L242)&lt;3,"",IF(COUNTIF(J242:L242,"유지")=3,"채택","제외"))</f>
        <v/>
      </c>
      <c r="N242" s="12"/>
    </row>
    <row r="243" customFormat="false" ht="15" hidden="false" customHeight="false" outlineLevel="0" collapsed="false">
      <c r="A243" s="7" t="n">
        <v>242</v>
      </c>
      <c r="B243" s="7" t="s">
        <v>33</v>
      </c>
      <c r="C243" s="7" t="s">
        <v>585</v>
      </c>
      <c r="D243" s="7" t="s">
        <v>737</v>
      </c>
      <c r="E243" s="8" t="s">
        <v>738</v>
      </c>
      <c r="F243" s="9" t="s">
        <v>739</v>
      </c>
      <c r="G243" s="8" t="s">
        <v>739</v>
      </c>
      <c r="H243" s="15"/>
      <c r="I243" s="15"/>
      <c r="J243" s="10"/>
      <c r="K243" s="10"/>
      <c r="L243" s="10"/>
      <c r="M243" s="11" t="str">
        <f aca="false">IF(COUNTA(J243:L243)&lt;3,"",IF(COUNTIF(J243:L243,"유지")=3,"채택","제외"))</f>
        <v/>
      </c>
      <c r="N243" s="12"/>
    </row>
    <row r="244" customFormat="false" ht="15" hidden="false" customHeight="false" outlineLevel="0" collapsed="false">
      <c r="A244" s="7" t="n">
        <v>243</v>
      </c>
      <c r="B244" s="7" t="s">
        <v>33</v>
      </c>
      <c r="C244" s="7" t="s">
        <v>585</v>
      </c>
      <c r="D244" s="7" t="s">
        <v>740</v>
      </c>
      <c r="E244" s="8" t="s">
        <v>741</v>
      </c>
      <c r="F244" s="9" t="s">
        <v>742</v>
      </c>
      <c r="G244" s="8" t="s">
        <v>742</v>
      </c>
      <c r="H244" s="15"/>
      <c r="I244" s="15"/>
      <c r="J244" s="10"/>
      <c r="K244" s="10"/>
      <c r="L244" s="10"/>
      <c r="M244" s="11" t="str">
        <f aca="false">IF(COUNTA(J244:L244)&lt;3,"",IF(COUNTIF(J244:L244,"유지")=3,"채택","제외"))</f>
        <v/>
      </c>
      <c r="N244" s="12"/>
    </row>
    <row r="245" customFormat="false" ht="15" hidden="false" customHeight="false" outlineLevel="0" collapsed="false">
      <c r="A245" s="7" t="n">
        <v>244</v>
      </c>
      <c r="B245" s="7" t="s">
        <v>33</v>
      </c>
      <c r="C245" s="7" t="s">
        <v>585</v>
      </c>
      <c r="D245" s="7" t="s">
        <v>743</v>
      </c>
      <c r="E245" s="8" t="s">
        <v>744</v>
      </c>
      <c r="F245" s="9" t="s">
        <v>745</v>
      </c>
      <c r="G245" s="8" t="s">
        <v>745</v>
      </c>
      <c r="H245" s="15"/>
      <c r="I245" s="15"/>
      <c r="J245" s="10"/>
      <c r="K245" s="10"/>
      <c r="L245" s="10"/>
      <c r="M245" s="11" t="str">
        <f aca="false">IF(COUNTA(J245:L245)&lt;3,"",IF(COUNTIF(J245:L245,"유지")=3,"채택","제외"))</f>
        <v/>
      </c>
      <c r="N245" s="12"/>
    </row>
    <row r="246" customFormat="false" ht="15" hidden="false" customHeight="false" outlineLevel="0" collapsed="false">
      <c r="A246" s="7" t="n">
        <v>245</v>
      </c>
      <c r="B246" s="7" t="s">
        <v>33</v>
      </c>
      <c r="C246" s="7" t="s">
        <v>585</v>
      </c>
      <c r="D246" s="7" t="s">
        <v>746</v>
      </c>
      <c r="E246" s="8" t="s">
        <v>747</v>
      </c>
      <c r="F246" s="9" t="s">
        <v>748</v>
      </c>
      <c r="G246" s="8" t="s">
        <v>748</v>
      </c>
      <c r="H246" s="15"/>
      <c r="I246" s="15"/>
      <c r="J246" s="10"/>
      <c r="K246" s="10"/>
      <c r="L246" s="10"/>
      <c r="M246" s="11" t="str">
        <f aca="false">IF(COUNTA(J246:L246)&lt;3,"",IF(COUNTIF(J246:L246,"유지")=3,"채택","제외"))</f>
        <v/>
      </c>
      <c r="N246" s="12"/>
    </row>
    <row r="247" customFormat="false" ht="15" hidden="false" customHeight="false" outlineLevel="0" collapsed="false">
      <c r="A247" s="7" t="n">
        <v>246</v>
      </c>
      <c r="B247" s="7" t="s">
        <v>33</v>
      </c>
      <c r="C247" s="7" t="s">
        <v>585</v>
      </c>
      <c r="D247" s="7" t="s">
        <v>746</v>
      </c>
      <c r="E247" s="8" t="s">
        <v>749</v>
      </c>
      <c r="F247" s="9" t="s">
        <v>750</v>
      </c>
      <c r="G247" s="8" t="s">
        <v>750</v>
      </c>
      <c r="H247" s="15"/>
      <c r="I247" s="15"/>
      <c r="J247" s="10"/>
      <c r="K247" s="10"/>
      <c r="L247" s="10"/>
      <c r="M247" s="11" t="str">
        <f aca="false">IF(COUNTA(J247:L247)&lt;3,"",IF(COUNTIF(J247:L247,"유지")=3,"채택","제외"))</f>
        <v/>
      </c>
      <c r="N247" s="12"/>
    </row>
    <row r="248" customFormat="false" ht="15" hidden="false" customHeight="false" outlineLevel="0" collapsed="false">
      <c r="A248" s="7" t="n">
        <v>247</v>
      </c>
      <c r="B248" s="7" t="s">
        <v>33</v>
      </c>
      <c r="C248" s="7" t="s">
        <v>585</v>
      </c>
      <c r="D248" s="7" t="s">
        <v>751</v>
      </c>
      <c r="E248" s="8" t="s">
        <v>752</v>
      </c>
      <c r="F248" s="9" t="s">
        <v>753</v>
      </c>
      <c r="G248" s="8" t="s">
        <v>753</v>
      </c>
      <c r="H248" s="15"/>
      <c r="I248" s="15"/>
      <c r="J248" s="10"/>
      <c r="K248" s="10"/>
      <c r="L248" s="10"/>
      <c r="M248" s="11" t="str">
        <f aca="false">IF(COUNTA(J248:L248)&lt;3,"",IF(COUNTIF(J248:L248,"유지")=3,"채택","제외"))</f>
        <v/>
      </c>
      <c r="N248" s="12"/>
    </row>
    <row r="249" customFormat="false" ht="15" hidden="false" customHeight="false" outlineLevel="0" collapsed="false">
      <c r="A249" s="7" t="n">
        <v>248</v>
      </c>
      <c r="B249" s="7" t="s">
        <v>33</v>
      </c>
      <c r="C249" s="7" t="s">
        <v>585</v>
      </c>
      <c r="D249" s="7" t="s">
        <v>754</v>
      </c>
      <c r="E249" s="8" t="s">
        <v>755</v>
      </c>
      <c r="F249" s="9" t="s">
        <v>756</v>
      </c>
      <c r="G249" s="8" t="s">
        <v>756</v>
      </c>
      <c r="H249" s="15"/>
      <c r="I249" s="15"/>
      <c r="J249" s="10"/>
      <c r="K249" s="10"/>
      <c r="L249" s="10"/>
      <c r="M249" s="11" t="str">
        <f aca="false">IF(COUNTA(J249:L249)&lt;3,"",IF(COUNTIF(J249:L249,"유지")=3,"채택","제외"))</f>
        <v/>
      </c>
      <c r="N249" s="12"/>
    </row>
    <row r="250" customFormat="false" ht="15" hidden="false" customHeight="false" outlineLevel="0" collapsed="false">
      <c r="A250" s="7" t="n">
        <v>249</v>
      </c>
      <c r="B250" s="7" t="s">
        <v>33</v>
      </c>
      <c r="C250" s="7" t="s">
        <v>585</v>
      </c>
      <c r="D250" s="7" t="s">
        <v>757</v>
      </c>
      <c r="E250" s="8" t="s">
        <v>758</v>
      </c>
      <c r="F250" s="9" t="s">
        <v>759</v>
      </c>
      <c r="G250" s="8" t="s">
        <v>759</v>
      </c>
      <c r="H250" s="15"/>
      <c r="I250" s="15"/>
      <c r="J250" s="10"/>
      <c r="K250" s="10"/>
      <c r="L250" s="10"/>
      <c r="M250" s="11" t="str">
        <f aca="false">IF(COUNTA(J250:L250)&lt;3,"",IF(COUNTIF(J250:L250,"유지")=3,"채택","제외"))</f>
        <v/>
      </c>
      <c r="N250" s="12"/>
    </row>
    <row r="251" customFormat="false" ht="15" hidden="false" customHeight="false" outlineLevel="0" collapsed="false">
      <c r="A251" s="7" t="n">
        <v>250</v>
      </c>
      <c r="B251" s="7" t="s">
        <v>33</v>
      </c>
      <c r="C251" s="7" t="s">
        <v>585</v>
      </c>
      <c r="D251" s="7" t="s">
        <v>760</v>
      </c>
      <c r="E251" s="8" t="s">
        <v>697</v>
      </c>
      <c r="F251" s="9" t="s">
        <v>698</v>
      </c>
      <c r="G251" s="8" t="s">
        <v>698</v>
      </c>
      <c r="H251" s="13" t="s">
        <v>87</v>
      </c>
      <c r="I251" s="14"/>
      <c r="J251" s="10"/>
      <c r="K251" s="10"/>
      <c r="L251" s="10"/>
      <c r="M251" s="11" t="str">
        <f aca="false">IF(COUNTA(J251:L251)&lt;3,"",IF(COUNTIF(J251:L251,"유지")=3,"채택","제외"))</f>
        <v/>
      </c>
      <c r="N251" s="12"/>
    </row>
    <row r="252" customFormat="false" ht="15" hidden="false" customHeight="false" outlineLevel="0" collapsed="false">
      <c r="A252" s="7" t="n">
        <v>251</v>
      </c>
      <c r="B252" s="7" t="s">
        <v>33</v>
      </c>
      <c r="C252" s="7" t="s">
        <v>585</v>
      </c>
      <c r="D252" s="7" t="s">
        <v>761</v>
      </c>
      <c r="E252" s="8" t="s">
        <v>762</v>
      </c>
      <c r="F252" s="9" t="s">
        <v>763</v>
      </c>
      <c r="G252" s="8" t="s">
        <v>763</v>
      </c>
      <c r="H252" s="15"/>
      <c r="I252" s="15"/>
      <c r="J252" s="10"/>
      <c r="K252" s="10"/>
      <c r="L252" s="10"/>
      <c r="M252" s="11" t="str">
        <f aca="false">IF(COUNTA(J252:L252)&lt;3,"",IF(COUNTIF(J252:L252,"유지")=3,"채택","제외"))</f>
        <v/>
      </c>
      <c r="N252" s="12"/>
    </row>
    <row r="253" customFormat="false" ht="15" hidden="false" customHeight="false" outlineLevel="0" collapsed="false">
      <c r="A253" s="7" t="n">
        <v>252</v>
      </c>
      <c r="B253" s="7" t="s">
        <v>33</v>
      </c>
      <c r="C253" s="7" t="s">
        <v>585</v>
      </c>
      <c r="D253" s="7" t="s">
        <v>761</v>
      </c>
      <c r="E253" s="8" t="s">
        <v>764</v>
      </c>
      <c r="F253" s="9" t="s">
        <v>765</v>
      </c>
      <c r="G253" s="8" t="s">
        <v>765</v>
      </c>
      <c r="H253" s="15"/>
      <c r="I253" s="15"/>
      <c r="J253" s="10"/>
      <c r="K253" s="10"/>
      <c r="L253" s="10"/>
      <c r="M253" s="11" t="str">
        <f aca="false">IF(COUNTA(J253:L253)&lt;3,"",IF(COUNTIF(J253:L253,"유지")=3,"채택","제외"))</f>
        <v/>
      </c>
      <c r="N253" s="12"/>
    </row>
    <row r="254" customFormat="false" ht="15" hidden="false" customHeight="false" outlineLevel="0" collapsed="false">
      <c r="A254" s="7" t="n">
        <v>253</v>
      </c>
      <c r="B254" s="7" t="s">
        <v>33</v>
      </c>
      <c r="C254" s="7" t="s">
        <v>585</v>
      </c>
      <c r="D254" s="7" t="s">
        <v>766</v>
      </c>
      <c r="E254" s="8" t="s">
        <v>767</v>
      </c>
      <c r="F254" s="9" t="s">
        <v>768</v>
      </c>
      <c r="G254" s="8" t="s">
        <v>768</v>
      </c>
      <c r="H254" s="15"/>
      <c r="I254" s="15"/>
      <c r="J254" s="10"/>
      <c r="K254" s="10"/>
      <c r="L254" s="10"/>
      <c r="M254" s="11" t="str">
        <f aca="false">IF(COUNTA(J254:L254)&lt;3,"",IF(COUNTIF(J254:L254,"유지")=3,"채택","제외"))</f>
        <v/>
      </c>
      <c r="N254" s="12"/>
    </row>
    <row r="255" customFormat="false" ht="15" hidden="false" customHeight="false" outlineLevel="0" collapsed="false">
      <c r="A255" s="7" t="n">
        <v>254</v>
      </c>
      <c r="B255" s="7" t="s">
        <v>33</v>
      </c>
      <c r="C255" s="7" t="s">
        <v>585</v>
      </c>
      <c r="D255" s="7" t="s">
        <v>769</v>
      </c>
      <c r="E255" s="8" t="s">
        <v>770</v>
      </c>
      <c r="F255" s="9" t="s">
        <v>771</v>
      </c>
      <c r="G255" s="8" t="s">
        <v>771</v>
      </c>
      <c r="H255" s="15"/>
      <c r="I255" s="15"/>
      <c r="J255" s="10"/>
      <c r="K255" s="10"/>
      <c r="L255" s="10"/>
      <c r="M255" s="11" t="str">
        <f aca="false">IF(COUNTA(J255:L255)&lt;3,"",IF(COUNTIF(J255:L255,"유지")=3,"채택","제외"))</f>
        <v/>
      </c>
      <c r="N255" s="12"/>
    </row>
    <row r="256" customFormat="false" ht="15" hidden="false" customHeight="false" outlineLevel="0" collapsed="false">
      <c r="A256" s="7" t="n">
        <v>255</v>
      </c>
      <c r="B256" s="7" t="s">
        <v>33</v>
      </c>
      <c r="C256" s="7" t="s">
        <v>585</v>
      </c>
      <c r="D256" s="7" t="s">
        <v>769</v>
      </c>
      <c r="E256" s="8" t="s">
        <v>772</v>
      </c>
      <c r="F256" s="9" t="s">
        <v>773</v>
      </c>
      <c r="G256" s="8" t="s">
        <v>773</v>
      </c>
      <c r="H256" s="15"/>
      <c r="I256" s="15"/>
      <c r="J256" s="10"/>
      <c r="K256" s="10"/>
      <c r="L256" s="10"/>
      <c r="M256" s="11" t="str">
        <f aca="false">IF(COUNTA(J256:L256)&lt;3,"",IF(COUNTIF(J256:L256,"유지")=3,"채택","제외"))</f>
        <v/>
      </c>
      <c r="N256" s="12"/>
    </row>
    <row r="257" customFormat="false" ht="15" hidden="false" customHeight="false" outlineLevel="0" collapsed="false">
      <c r="A257" s="7" t="n">
        <v>256</v>
      </c>
      <c r="B257" s="7" t="s">
        <v>33</v>
      </c>
      <c r="C257" s="7" t="s">
        <v>774</v>
      </c>
      <c r="D257" s="7" t="s">
        <v>774</v>
      </c>
      <c r="E257" s="8" t="s">
        <v>775</v>
      </c>
      <c r="F257" s="9" t="s">
        <v>776</v>
      </c>
      <c r="G257" s="8" t="s">
        <v>776</v>
      </c>
      <c r="H257" s="15"/>
      <c r="I257" s="15"/>
      <c r="J257" s="10"/>
      <c r="K257" s="10"/>
      <c r="L257" s="10"/>
      <c r="M257" s="11" t="str">
        <f aca="false">IF(COUNTA(J257:L257)&lt;3,"",IF(COUNTIF(J257:L257,"유지")=3,"채택","제외"))</f>
        <v/>
      </c>
      <c r="N257" s="12"/>
    </row>
    <row r="258" customFormat="false" ht="15" hidden="false" customHeight="false" outlineLevel="0" collapsed="false">
      <c r="A258" s="7" t="n">
        <v>257</v>
      </c>
      <c r="B258" s="7" t="s">
        <v>33</v>
      </c>
      <c r="C258" s="7" t="s">
        <v>774</v>
      </c>
      <c r="D258" s="7" t="s">
        <v>777</v>
      </c>
      <c r="E258" s="8" t="s">
        <v>778</v>
      </c>
      <c r="F258" s="9" t="s">
        <v>779</v>
      </c>
      <c r="G258" s="8" t="s">
        <v>779</v>
      </c>
      <c r="H258" s="15"/>
      <c r="I258" s="15"/>
      <c r="J258" s="10"/>
      <c r="K258" s="10"/>
      <c r="L258" s="10"/>
      <c r="M258" s="11" t="str">
        <f aca="false">IF(COUNTA(J258:L258)&lt;3,"",IF(COUNTIF(J258:L258,"유지")=3,"채택","제외"))</f>
        <v/>
      </c>
      <c r="N258" s="12"/>
    </row>
    <row r="259" customFormat="false" ht="15" hidden="false" customHeight="false" outlineLevel="0" collapsed="false">
      <c r="A259" s="7" t="n">
        <v>258</v>
      </c>
      <c r="B259" s="7" t="s">
        <v>33</v>
      </c>
      <c r="C259" s="7" t="s">
        <v>774</v>
      </c>
      <c r="D259" s="7" t="s">
        <v>780</v>
      </c>
      <c r="E259" s="8" t="s">
        <v>781</v>
      </c>
      <c r="F259" s="9" t="s">
        <v>782</v>
      </c>
      <c r="G259" s="8" t="s">
        <v>782</v>
      </c>
      <c r="H259" s="15"/>
      <c r="I259" s="15"/>
      <c r="J259" s="10"/>
      <c r="K259" s="10"/>
      <c r="L259" s="10"/>
      <c r="M259" s="11" t="str">
        <f aca="false">IF(COUNTA(J259:L259)&lt;3,"",IF(COUNTIF(J259:L259,"유지")=3,"채택","제외"))</f>
        <v/>
      </c>
      <c r="N259" s="12"/>
    </row>
    <row r="260" customFormat="false" ht="15" hidden="false" customHeight="false" outlineLevel="0" collapsed="false">
      <c r="A260" s="7" t="n">
        <v>259</v>
      </c>
      <c r="B260" s="7" t="s">
        <v>33</v>
      </c>
      <c r="C260" s="7" t="s">
        <v>774</v>
      </c>
      <c r="D260" s="7" t="s">
        <v>783</v>
      </c>
      <c r="E260" s="8" t="s">
        <v>784</v>
      </c>
      <c r="F260" s="9" t="s">
        <v>785</v>
      </c>
      <c r="G260" s="8" t="s">
        <v>785</v>
      </c>
      <c r="H260" s="15"/>
      <c r="I260" s="15"/>
      <c r="J260" s="10"/>
      <c r="K260" s="10"/>
      <c r="L260" s="10"/>
      <c r="M260" s="11" t="str">
        <f aca="false">IF(COUNTA(J260:L260)&lt;3,"",IF(COUNTIF(J260:L260,"유지")=3,"채택","제외"))</f>
        <v/>
      </c>
      <c r="N260" s="12"/>
    </row>
    <row r="261" customFormat="false" ht="15" hidden="false" customHeight="false" outlineLevel="0" collapsed="false">
      <c r="A261" s="7" t="n">
        <v>260</v>
      </c>
      <c r="B261" s="7" t="s">
        <v>33</v>
      </c>
      <c r="C261" s="7" t="s">
        <v>774</v>
      </c>
      <c r="D261" s="7" t="s">
        <v>786</v>
      </c>
      <c r="E261" s="8" t="s">
        <v>787</v>
      </c>
      <c r="F261" s="9" t="s">
        <v>788</v>
      </c>
      <c r="G261" s="8" t="s">
        <v>788</v>
      </c>
      <c r="H261" s="15"/>
      <c r="I261" s="15"/>
      <c r="J261" s="10"/>
      <c r="K261" s="10"/>
      <c r="L261" s="10"/>
      <c r="M261" s="11" t="str">
        <f aca="false">IF(COUNTA(J261:L261)&lt;3,"",IF(COUNTIF(J261:L261,"유지")=3,"채택","제외"))</f>
        <v/>
      </c>
      <c r="N261" s="12"/>
    </row>
    <row r="262" customFormat="false" ht="15" hidden="false" customHeight="false" outlineLevel="0" collapsed="false">
      <c r="A262" s="7" t="n">
        <v>261</v>
      </c>
      <c r="B262" s="7" t="s">
        <v>33</v>
      </c>
      <c r="C262" s="7" t="s">
        <v>774</v>
      </c>
      <c r="D262" s="7" t="s">
        <v>789</v>
      </c>
      <c r="E262" s="8" t="s">
        <v>790</v>
      </c>
      <c r="F262" s="9" t="s">
        <v>791</v>
      </c>
      <c r="G262" s="8" t="s">
        <v>791</v>
      </c>
      <c r="H262" s="15"/>
      <c r="I262" s="15"/>
      <c r="J262" s="10"/>
      <c r="K262" s="10"/>
      <c r="L262" s="10"/>
      <c r="M262" s="11" t="str">
        <f aca="false">IF(COUNTA(J262:L262)&lt;3,"",IF(COUNTIF(J262:L262,"유지")=3,"채택","제외"))</f>
        <v/>
      </c>
      <c r="N262" s="12"/>
    </row>
    <row r="263" customFormat="false" ht="15" hidden="false" customHeight="false" outlineLevel="0" collapsed="false">
      <c r="A263" s="7" t="n">
        <v>262</v>
      </c>
      <c r="B263" s="7" t="s">
        <v>33</v>
      </c>
      <c r="C263" s="7" t="s">
        <v>774</v>
      </c>
      <c r="D263" s="7" t="s">
        <v>789</v>
      </c>
      <c r="E263" s="8" t="s">
        <v>636</v>
      </c>
      <c r="F263" s="9" t="s">
        <v>637</v>
      </c>
      <c r="G263" s="8" t="s">
        <v>637</v>
      </c>
      <c r="H263" s="13" t="s">
        <v>87</v>
      </c>
      <c r="I263" s="14"/>
      <c r="J263" s="10"/>
      <c r="K263" s="10"/>
      <c r="L263" s="10"/>
      <c r="M263" s="11" t="str">
        <f aca="false">IF(COUNTA(J263:L263)&lt;3,"",IF(COUNTIF(J263:L263,"유지")=3,"채택","제외"))</f>
        <v/>
      </c>
      <c r="N263" s="12"/>
    </row>
    <row r="264" customFormat="false" ht="15" hidden="false" customHeight="false" outlineLevel="0" collapsed="false">
      <c r="A264" s="7" t="n">
        <v>263</v>
      </c>
      <c r="B264" s="7" t="s">
        <v>33</v>
      </c>
      <c r="C264" s="7" t="s">
        <v>774</v>
      </c>
      <c r="D264" s="7" t="s">
        <v>792</v>
      </c>
      <c r="E264" s="8" t="s">
        <v>793</v>
      </c>
      <c r="F264" s="9" t="s">
        <v>794</v>
      </c>
      <c r="G264" s="8" t="s">
        <v>794</v>
      </c>
      <c r="H264" s="15"/>
      <c r="I264" s="15"/>
      <c r="J264" s="10"/>
      <c r="K264" s="10"/>
      <c r="L264" s="10"/>
      <c r="M264" s="11" t="str">
        <f aca="false">IF(COUNTA(J264:L264)&lt;3,"",IF(COUNTIF(J264:L264,"유지")=3,"채택","제외"))</f>
        <v/>
      </c>
      <c r="N264" s="12"/>
    </row>
    <row r="265" customFormat="false" ht="15" hidden="false" customHeight="false" outlineLevel="0" collapsed="false">
      <c r="A265" s="7" t="n">
        <v>264</v>
      </c>
      <c r="B265" s="7" t="s">
        <v>33</v>
      </c>
      <c r="C265" s="7" t="s">
        <v>774</v>
      </c>
      <c r="D265" s="7" t="s">
        <v>795</v>
      </c>
      <c r="E265" s="8" t="s">
        <v>796</v>
      </c>
      <c r="F265" s="9" t="s">
        <v>797</v>
      </c>
      <c r="G265" s="8" t="s">
        <v>797</v>
      </c>
      <c r="H265" s="15"/>
      <c r="I265" s="15"/>
      <c r="J265" s="10"/>
      <c r="K265" s="10"/>
      <c r="L265" s="10"/>
      <c r="M265" s="11" t="str">
        <f aca="false">IF(COUNTA(J265:L265)&lt;3,"",IF(COUNTIF(J265:L265,"유지")=3,"채택","제외"))</f>
        <v/>
      </c>
      <c r="N265" s="12"/>
    </row>
    <row r="266" customFormat="false" ht="15" hidden="false" customHeight="false" outlineLevel="0" collapsed="false">
      <c r="A266" s="7" t="n">
        <v>265</v>
      </c>
      <c r="B266" s="7" t="s">
        <v>33</v>
      </c>
      <c r="C266" s="7" t="s">
        <v>774</v>
      </c>
      <c r="D266" s="7" t="s">
        <v>798</v>
      </c>
      <c r="E266" s="8" t="s">
        <v>304</v>
      </c>
      <c r="F266" s="9" t="s">
        <v>305</v>
      </c>
      <c r="G266" s="8" t="s">
        <v>305</v>
      </c>
      <c r="H266" s="13" t="s">
        <v>87</v>
      </c>
      <c r="I266" s="14"/>
      <c r="J266" s="10"/>
      <c r="K266" s="10"/>
      <c r="L266" s="10"/>
      <c r="M266" s="11" t="str">
        <f aca="false">IF(COUNTA(J266:L266)&lt;3,"",IF(COUNTIF(J266:L266,"유지")=3,"채택","제외"))</f>
        <v/>
      </c>
      <c r="N266" s="12"/>
    </row>
    <row r="267" customFormat="false" ht="15" hidden="false" customHeight="false" outlineLevel="0" collapsed="false">
      <c r="A267" s="7" t="n">
        <v>266</v>
      </c>
      <c r="B267" s="7" t="s">
        <v>33</v>
      </c>
      <c r="C267" s="7" t="s">
        <v>774</v>
      </c>
      <c r="D267" s="7" t="s">
        <v>799</v>
      </c>
      <c r="E267" s="8" t="s">
        <v>800</v>
      </c>
      <c r="F267" s="9" t="s">
        <v>801</v>
      </c>
      <c r="G267" s="8" t="s">
        <v>801</v>
      </c>
      <c r="H267" s="15"/>
      <c r="I267" s="15"/>
      <c r="J267" s="10"/>
      <c r="K267" s="10"/>
      <c r="L267" s="10"/>
      <c r="M267" s="11" t="str">
        <f aca="false">IF(COUNTA(J267:L267)&lt;3,"",IF(COUNTIF(J267:L267,"유지")=3,"채택","제외"))</f>
        <v/>
      </c>
      <c r="N267" s="12"/>
    </row>
    <row r="268" customFormat="false" ht="15" hidden="false" customHeight="false" outlineLevel="0" collapsed="false">
      <c r="A268" s="7" t="n">
        <v>267</v>
      </c>
      <c r="B268" s="7" t="s">
        <v>33</v>
      </c>
      <c r="C268" s="7" t="s">
        <v>774</v>
      </c>
      <c r="D268" s="7" t="s">
        <v>802</v>
      </c>
      <c r="E268" s="8" t="s">
        <v>803</v>
      </c>
      <c r="F268" s="9" t="s">
        <v>804</v>
      </c>
      <c r="G268" s="8" t="s">
        <v>706</v>
      </c>
      <c r="H268" s="13" t="s">
        <v>87</v>
      </c>
      <c r="I268" s="14"/>
      <c r="J268" s="10"/>
      <c r="K268" s="10"/>
      <c r="L268" s="10"/>
      <c r="M268" s="11" t="str">
        <f aca="false">IF(COUNTA(J268:L268)&lt;3,"",IF(COUNTIF(J268:L268,"유지")=3,"채택","제외"))</f>
        <v/>
      </c>
      <c r="N268" s="12"/>
    </row>
    <row r="269" customFormat="false" ht="29.85" hidden="false" customHeight="false" outlineLevel="0" collapsed="false">
      <c r="A269" s="7" t="n">
        <v>268</v>
      </c>
      <c r="B269" s="7" t="s">
        <v>33</v>
      </c>
      <c r="C269" s="7" t="s">
        <v>774</v>
      </c>
      <c r="D269" s="7" t="s">
        <v>805</v>
      </c>
      <c r="E269" s="8" t="s">
        <v>806</v>
      </c>
      <c r="F269" s="9" t="s">
        <v>807</v>
      </c>
      <c r="G269" s="8" t="s">
        <v>808</v>
      </c>
      <c r="H269" s="13" t="s">
        <v>56</v>
      </c>
      <c r="I269" s="14" t="s">
        <v>809</v>
      </c>
      <c r="J269" s="10"/>
      <c r="K269" s="10"/>
      <c r="L269" s="10"/>
      <c r="M269" s="11" t="str">
        <f aca="false">IF(COUNTA(J269:L269)&lt;3,"",IF(COUNTIF(J269:L269,"유지")=3,"채택","제외"))</f>
        <v/>
      </c>
      <c r="N269" s="12"/>
    </row>
    <row r="270" customFormat="false" ht="15" hidden="false" customHeight="false" outlineLevel="0" collapsed="false">
      <c r="A270" s="7" t="n">
        <v>269</v>
      </c>
      <c r="B270" s="7" t="s">
        <v>33</v>
      </c>
      <c r="C270" s="7" t="s">
        <v>774</v>
      </c>
      <c r="D270" s="7" t="s">
        <v>810</v>
      </c>
      <c r="E270" s="8" t="s">
        <v>811</v>
      </c>
      <c r="F270" s="9" t="s">
        <v>812</v>
      </c>
      <c r="G270" s="8" t="s">
        <v>812</v>
      </c>
      <c r="H270" s="15"/>
      <c r="I270" s="15"/>
      <c r="J270" s="10"/>
      <c r="K270" s="10"/>
      <c r="L270" s="10"/>
      <c r="M270" s="11" t="str">
        <f aca="false">IF(COUNTA(J270:L270)&lt;3,"",IF(COUNTIF(J270:L270,"유지")=3,"채택","제외"))</f>
        <v/>
      </c>
      <c r="N270" s="12"/>
    </row>
    <row r="271" customFormat="false" ht="15" hidden="false" customHeight="false" outlineLevel="0" collapsed="false">
      <c r="A271" s="7" t="n">
        <v>270</v>
      </c>
      <c r="B271" s="7" t="s">
        <v>33</v>
      </c>
      <c r="C271" s="7" t="s">
        <v>774</v>
      </c>
      <c r="D271" s="7" t="s">
        <v>813</v>
      </c>
      <c r="E271" s="8" t="s">
        <v>814</v>
      </c>
      <c r="F271" s="9" t="s">
        <v>815</v>
      </c>
      <c r="G271" s="8" t="s">
        <v>815</v>
      </c>
      <c r="H271" s="13" t="s">
        <v>56</v>
      </c>
      <c r="I271" s="14"/>
      <c r="J271" s="10"/>
      <c r="K271" s="10"/>
      <c r="L271" s="10"/>
      <c r="M271" s="11" t="str">
        <f aca="false">IF(COUNTA(J271:L271)&lt;3,"",IF(COUNTIF(J271:L271,"유지")=3,"채택","제외"))</f>
        <v/>
      </c>
      <c r="N271" s="12"/>
    </row>
    <row r="272" customFormat="false" ht="15" hidden="false" customHeight="false" outlineLevel="0" collapsed="false">
      <c r="A272" s="7" t="n">
        <v>271</v>
      </c>
      <c r="B272" s="7" t="s">
        <v>33</v>
      </c>
      <c r="C272" s="7" t="s">
        <v>774</v>
      </c>
      <c r="D272" s="7" t="s">
        <v>816</v>
      </c>
      <c r="E272" s="8" t="s">
        <v>817</v>
      </c>
      <c r="F272" s="9" t="s">
        <v>818</v>
      </c>
      <c r="G272" s="8" t="s">
        <v>818</v>
      </c>
      <c r="H272" s="15"/>
      <c r="I272" s="15"/>
      <c r="J272" s="10"/>
      <c r="K272" s="10"/>
      <c r="L272" s="10"/>
      <c r="M272" s="11" t="str">
        <f aca="false">IF(COUNTA(J272:L272)&lt;3,"",IF(COUNTIF(J272:L272,"유지")=3,"채택","제외"))</f>
        <v/>
      </c>
      <c r="N272" s="12"/>
    </row>
    <row r="273" customFormat="false" ht="15" hidden="false" customHeight="false" outlineLevel="0" collapsed="false">
      <c r="A273" s="7" t="n">
        <v>272</v>
      </c>
      <c r="B273" s="7" t="s">
        <v>33</v>
      </c>
      <c r="C273" s="7" t="s">
        <v>774</v>
      </c>
      <c r="D273" s="7" t="s">
        <v>819</v>
      </c>
      <c r="E273" s="8" t="s">
        <v>820</v>
      </c>
      <c r="F273" s="9" t="s">
        <v>821</v>
      </c>
      <c r="G273" s="8" t="s">
        <v>821</v>
      </c>
      <c r="H273" s="13" t="s">
        <v>74</v>
      </c>
      <c r="I273" s="14"/>
      <c r="J273" s="10"/>
      <c r="K273" s="10"/>
      <c r="L273" s="10"/>
      <c r="M273" s="11" t="str">
        <f aca="false">IF(COUNTA(J273:L273)&lt;3,"",IF(COUNTIF(J273:L273,"유지")=3,"채택","제외"))</f>
        <v/>
      </c>
      <c r="N273" s="12"/>
    </row>
    <row r="274" customFormat="false" ht="15" hidden="false" customHeight="false" outlineLevel="0" collapsed="false">
      <c r="A274" s="7" t="n">
        <v>273</v>
      </c>
      <c r="B274" s="7" t="s">
        <v>33</v>
      </c>
      <c r="C274" s="7" t="s">
        <v>774</v>
      </c>
      <c r="D274" s="7" t="s">
        <v>822</v>
      </c>
      <c r="E274" s="8" t="s">
        <v>823</v>
      </c>
      <c r="F274" s="9" t="s">
        <v>824</v>
      </c>
      <c r="G274" s="8" t="s">
        <v>824</v>
      </c>
      <c r="H274" s="13" t="s">
        <v>74</v>
      </c>
      <c r="I274" s="14"/>
      <c r="J274" s="10"/>
      <c r="K274" s="10"/>
      <c r="L274" s="10"/>
      <c r="M274" s="11" t="str">
        <f aca="false">IF(COUNTA(J274:L274)&lt;3,"",IF(COUNTIF(J274:L274,"유지")=3,"채택","제외"))</f>
        <v/>
      </c>
      <c r="N274" s="12"/>
    </row>
    <row r="275" customFormat="false" ht="15" hidden="false" customHeight="false" outlineLevel="0" collapsed="false">
      <c r="A275" s="7" t="n">
        <v>274</v>
      </c>
      <c r="B275" s="7" t="s">
        <v>33</v>
      </c>
      <c r="C275" s="7" t="s">
        <v>774</v>
      </c>
      <c r="D275" s="7" t="s">
        <v>825</v>
      </c>
      <c r="E275" s="8" t="s">
        <v>826</v>
      </c>
      <c r="F275" s="9" t="s">
        <v>827</v>
      </c>
      <c r="G275" s="8" t="s">
        <v>827</v>
      </c>
      <c r="H275" s="15"/>
      <c r="I275" s="15"/>
      <c r="J275" s="10"/>
      <c r="K275" s="10"/>
      <c r="L275" s="10"/>
      <c r="M275" s="11" t="str">
        <f aca="false">IF(COUNTA(J275:L275)&lt;3,"",IF(COUNTIF(J275:L275,"유지")=3,"채택","제외"))</f>
        <v/>
      </c>
      <c r="N275" s="12"/>
    </row>
    <row r="276" customFormat="false" ht="15" hidden="false" customHeight="false" outlineLevel="0" collapsed="false">
      <c r="A276" s="7" t="n">
        <v>275</v>
      </c>
      <c r="B276" s="7" t="s">
        <v>33</v>
      </c>
      <c r="C276" s="7" t="s">
        <v>774</v>
      </c>
      <c r="D276" s="7" t="s">
        <v>828</v>
      </c>
      <c r="E276" s="8" t="s">
        <v>829</v>
      </c>
      <c r="F276" s="9" t="s">
        <v>830</v>
      </c>
      <c r="G276" s="8" t="s">
        <v>830</v>
      </c>
      <c r="H276" s="15"/>
      <c r="I276" s="15"/>
      <c r="J276" s="10"/>
      <c r="K276" s="10"/>
      <c r="L276" s="10"/>
      <c r="M276" s="11" t="str">
        <f aca="false">IF(COUNTA(J276:L276)&lt;3,"",IF(COUNTIF(J276:L276,"유지")=3,"채택","제외"))</f>
        <v/>
      </c>
      <c r="N276" s="12"/>
    </row>
    <row r="277" customFormat="false" ht="15" hidden="false" customHeight="false" outlineLevel="0" collapsed="false">
      <c r="A277" s="7" t="n">
        <v>276</v>
      </c>
      <c r="B277" s="7" t="s">
        <v>33</v>
      </c>
      <c r="C277" s="7" t="s">
        <v>774</v>
      </c>
      <c r="D277" s="7" t="s">
        <v>831</v>
      </c>
      <c r="E277" s="8" t="s">
        <v>832</v>
      </c>
      <c r="F277" s="9" t="s">
        <v>833</v>
      </c>
      <c r="G277" s="8" t="s">
        <v>833</v>
      </c>
      <c r="H277" s="14"/>
      <c r="I277" s="14" t="s">
        <v>834</v>
      </c>
      <c r="J277" s="10"/>
      <c r="K277" s="10"/>
      <c r="L277" s="10"/>
      <c r="M277" s="11" t="str">
        <f aca="false">IF(COUNTA(J277:L277)&lt;3,"",IF(COUNTIF(J277:L277,"유지")=3,"채택","제외"))</f>
        <v/>
      </c>
      <c r="N277" s="12"/>
    </row>
    <row r="278" customFormat="false" ht="15" hidden="false" customHeight="false" outlineLevel="0" collapsed="false">
      <c r="A278" s="7" t="n">
        <v>277</v>
      </c>
      <c r="B278" s="7" t="s">
        <v>33</v>
      </c>
      <c r="C278" s="7" t="s">
        <v>774</v>
      </c>
      <c r="D278" s="7" t="s">
        <v>831</v>
      </c>
      <c r="E278" s="8" t="s">
        <v>835</v>
      </c>
      <c r="F278" s="9" t="s">
        <v>836</v>
      </c>
      <c r="G278" s="8" t="s">
        <v>836</v>
      </c>
      <c r="H278" s="15"/>
      <c r="I278" s="15"/>
      <c r="J278" s="10"/>
      <c r="K278" s="10"/>
      <c r="L278" s="10"/>
      <c r="M278" s="11" t="str">
        <f aca="false">IF(COUNTA(J278:L278)&lt;3,"",IF(COUNTIF(J278:L278,"유지")=3,"채택","제외"))</f>
        <v/>
      </c>
      <c r="N278" s="12"/>
    </row>
    <row r="279" customFormat="false" ht="15" hidden="false" customHeight="false" outlineLevel="0" collapsed="false">
      <c r="A279" s="7" t="n">
        <v>278</v>
      </c>
      <c r="B279" s="7" t="s">
        <v>33</v>
      </c>
      <c r="C279" s="7" t="s">
        <v>774</v>
      </c>
      <c r="D279" s="7" t="s">
        <v>837</v>
      </c>
      <c r="E279" s="8" t="s">
        <v>838</v>
      </c>
      <c r="F279" s="9" t="s">
        <v>839</v>
      </c>
      <c r="G279" s="8" t="s">
        <v>839</v>
      </c>
      <c r="H279" s="15"/>
      <c r="I279" s="15"/>
      <c r="J279" s="10"/>
      <c r="K279" s="10"/>
      <c r="L279" s="10"/>
      <c r="M279" s="11" t="str">
        <f aca="false">IF(COUNTA(J279:L279)&lt;3,"",IF(COUNTIF(J279:L279,"유지")=3,"채택","제외"))</f>
        <v/>
      </c>
      <c r="N279" s="12"/>
    </row>
    <row r="280" customFormat="false" ht="15" hidden="false" customHeight="false" outlineLevel="0" collapsed="false">
      <c r="A280" s="7" t="n">
        <v>279</v>
      </c>
      <c r="B280" s="7" t="s">
        <v>33</v>
      </c>
      <c r="C280" s="7" t="s">
        <v>774</v>
      </c>
      <c r="D280" s="7" t="s">
        <v>840</v>
      </c>
      <c r="E280" s="8" t="s">
        <v>841</v>
      </c>
      <c r="F280" s="9" t="s">
        <v>842</v>
      </c>
      <c r="G280" s="8" t="s">
        <v>842</v>
      </c>
      <c r="H280" s="15"/>
      <c r="I280" s="15"/>
      <c r="J280" s="10"/>
      <c r="K280" s="10"/>
      <c r="L280" s="10"/>
      <c r="M280" s="11" t="str">
        <f aca="false">IF(COUNTA(J280:L280)&lt;3,"",IF(COUNTIF(J280:L280,"유지")=3,"채택","제외"))</f>
        <v/>
      </c>
      <c r="N280" s="12"/>
    </row>
    <row r="281" customFormat="false" ht="15" hidden="false" customHeight="false" outlineLevel="0" collapsed="false">
      <c r="A281" s="7" t="n">
        <v>280</v>
      </c>
      <c r="B281" s="7" t="s">
        <v>33</v>
      </c>
      <c r="C281" s="7" t="s">
        <v>843</v>
      </c>
      <c r="D281" s="7" t="s">
        <v>843</v>
      </c>
      <c r="E281" s="8" t="s">
        <v>844</v>
      </c>
      <c r="F281" s="9" t="s">
        <v>845</v>
      </c>
      <c r="G281" s="8" t="s">
        <v>845</v>
      </c>
      <c r="H281" s="15"/>
      <c r="I281" s="15"/>
      <c r="J281" s="10"/>
      <c r="K281" s="10"/>
      <c r="L281" s="10"/>
      <c r="M281" s="11" t="str">
        <f aca="false">IF(COUNTA(J281:L281)&lt;3,"",IF(COUNTIF(J281:L281,"유지")=3,"채택","제외"))</f>
        <v/>
      </c>
      <c r="N281" s="12"/>
    </row>
    <row r="282" customFormat="false" ht="15" hidden="false" customHeight="false" outlineLevel="0" collapsed="false">
      <c r="A282" s="7" t="n">
        <v>281</v>
      </c>
      <c r="B282" s="7" t="s">
        <v>33</v>
      </c>
      <c r="C282" s="7" t="s">
        <v>843</v>
      </c>
      <c r="D282" s="7" t="s">
        <v>846</v>
      </c>
      <c r="E282" s="8" t="s">
        <v>847</v>
      </c>
      <c r="F282" s="9" t="s">
        <v>848</v>
      </c>
      <c r="G282" s="8" t="s">
        <v>848</v>
      </c>
      <c r="H282" s="15"/>
      <c r="I282" s="15"/>
      <c r="J282" s="10"/>
      <c r="K282" s="10"/>
      <c r="L282" s="10"/>
      <c r="M282" s="11" t="str">
        <f aca="false">IF(COUNTA(J282:L282)&lt;3,"",IF(COUNTIF(J282:L282,"유지")=3,"채택","제외"))</f>
        <v/>
      </c>
      <c r="N282" s="12"/>
    </row>
    <row r="283" customFormat="false" ht="15" hidden="false" customHeight="false" outlineLevel="0" collapsed="false">
      <c r="A283" s="7" t="n">
        <v>282</v>
      </c>
      <c r="B283" s="7" t="s">
        <v>33</v>
      </c>
      <c r="C283" s="7" t="s">
        <v>843</v>
      </c>
      <c r="D283" s="7" t="s">
        <v>846</v>
      </c>
      <c r="E283" s="8" t="s">
        <v>849</v>
      </c>
      <c r="F283" s="9" t="s">
        <v>850</v>
      </c>
      <c r="G283" s="8" t="s">
        <v>851</v>
      </c>
      <c r="H283" s="14"/>
      <c r="I283" s="14" t="s">
        <v>852</v>
      </c>
      <c r="J283" s="10"/>
      <c r="K283" s="10"/>
      <c r="L283" s="10"/>
      <c r="M283" s="11" t="str">
        <f aca="false">IF(COUNTA(J283:L283)&lt;3,"",IF(COUNTIF(J283:L283,"유지")=3,"채택","제외"))</f>
        <v/>
      </c>
      <c r="N283" s="12"/>
    </row>
    <row r="284" customFormat="false" ht="15" hidden="false" customHeight="false" outlineLevel="0" collapsed="false">
      <c r="A284" s="7" t="n">
        <v>283</v>
      </c>
      <c r="B284" s="7" t="s">
        <v>33</v>
      </c>
      <c r="C284" s="7" t="s">
        <v>843</v>
      </c>
      <c r="D284" s="7" t="s">
        <v>853</v>
      </c>
      <c r="E284" s="8" t="s">
        <v>854</v>
      </c>
      <c r="F284" s="9" t="s">
        <v>855</v>
      </c>
      <c r="G284" s="8" t="s">
        <v>855</v>
      </c>
      <c r="H284" s="15"/>
      <c r="I284" s="15"/>
      <c r="J284" s="10"/>
      <c r="K284" s="10"/>
      <c r="L284" s="10"/>
      <c r="M284" s="11" t="str">
        <f aca="false">IF(COUNTA(J284:L284)&lt;3,"",IF(COUNTIF(J284:L284,"유지")=3,"채택","제외"))</f>
        <v/>
      </c>
      <c r="N284" s="12"/>
    </row>
    <row r="285" customFormat="false" ht="15" hidden="false" customHeight="false" outlineLevel="0" collapsed="false">
      <c r="A285" s="7" t="n">
        <v>284</v>
      </c>
      <c r="B285" s="7" t="s">
        <v>33</v>
      </c>
      <c r="C285" s="7" t="s">
        <v>843</v>
      </c>
      <c r="D285" s="7" t="s">
        <v>853</v>
      </c>
      <c r="E285" s="8" t="s">
        <v>856</v>
      </c>
      <c r="F285" s="9" t="s">
        <v>857</v>
      </c>
      <c r="G285" s="8" t="s">
        <v>857</v>
      </c>
      <c r="H285" s="15"/>
      <c r="I285" s="15"/>
      <c r="J285" s="10"/>
      <c r="K285" s="10"/>
      <c r="L285" s="10"/>
      <c r="M285" s="11" t="str">
        <f aca="false">IF(COUNTA(J285:L285)&lt;3,"",IF(COUNTIF(J285:L285,"유지")=3,"채택","제외"))</f>
        <v/>
      </c>
      <c r="N285" s="12"/>
    </row>
    <row r="286" customFormat="false" ht="15" hidden="false" customHeight="false" outlineLevel="0" collapsed="false">
      <c r="A286" s="7" t="n">
        <v>285</v>
      </c>
      <c r="B286" s="7" t="s">
        <v>33</v>
      </c>
      <c r="C286" s="7" t="s">
        <v>843</v>
      </c>
      <c r="D286" s="7" t="s">
        <v>858</v>
      </c>
      <c r="E286" s="8" t="s">
        <v>859</v>
      </c>
      <c r="F286" s="9" t="s">
        <v>860</v>
      </c>
      <c r="G286" s="8" t="s">
        <v>860</v>
      </c>
      <c r="H286" s="15"/>
      <c r="I286" s="15"/>
      <c r="J286" s="10"/>
      <c r="K286" s="10"/>
      <c r="L286" s="10"/>
      <c r="M286" s="11" t="str">
        <f aca="false">IF(COUNTA(J286:L286)&lt;3,"",IF(COUNTIF(J286:L286,"유지")=3,"채택","제외"))</f>
        <v/>
      </c>
      <c r="N286" s="12"/>
    </row>
    <row r="287" customFormat="false" ht="15" hidden="false" customHeight="false" outlineLevel="0" collapsed="false">
      <c r="A287" s="7" t="n">
        <v>286</v>
      </c>
      <c r="B287" s="7" t="s">
        <v>33</v>
      </c>
      <c r="C287" s="7" t="s">
        <v>843</v>
      </c>
      <c r="D287" s="7" t="s">
        <v>861</v>
      </c>
      <c r="E287" s="8" t="s">
        <v>862</v>
      </c>
      <c r="F287" s="9" t="s">
        <v>863</v>
      </c>
      <c r="G287" s="8" t="s">
        <v>863</v>
      </c>
      <c r="H287" s="15"/>
      <c r="I287" s="15"/>
      <c r="J287" s="10"/>
      <c r="K287" s="10"/>
      <c r="L287" s="10"/>
      <c r="M287" s="11" t="str">
        <f aca="false">IF(COUNTA(J287:L287)&lt;3,"",IF(COUNTIF(J287:L287,"유지")=3,"채택","제외"))</f>
        <v/>
      </c>
      <c r="N287" s="12"/>
    </row>
    <row r="288" customFormat="false" ht="15" hidden="false" customHeight="false" outlineLevel="0" collapsed="false">
      <c r="A288" s="7" t="n">
        <v>287</v>
      </c>
      <c r="B288" s="7" t="s">
        <v>33</v>
      </c>
      <c r="C288" s="7" t="s">
        <v>843</v>
      </c>
      <c r="D288" s="7" t="s">
        <v>864</v>
      </c>
      <c r="E288" s="8" t="s">
        <v>865</v>
      </c>
      <c r="F288" s="9" t="s">
        <v>866</v>
      </c>
      <c r="G288" s="8" t="s">
        <v>866</v>
      </c>
      <c r="H288" s="15"/>
      <c r="I288" s="15"/>
      <c r="J288" s="10"/>
      <c r="K288" s="10"/>
      <c r="L288" s="10"/>
      <c r="M288" s="11" t="str">
        <f aca="false">IF(COUNTA(J288:L288)&lt;3,"",IF(COUNTIF(J288:L288,"유지")=3,"채택","제외"))</f>
        <v/>
      </c>
      <c r="N288" s="12"/>
    </row>
    <row r="289" customFormat="false" ht="15" hidden="false" customHeight="false" outlineLevel="0" collapsed="false">
      <c r="A289" s="7" t="n">
        <v>288</v>
      </c>
      <c r="B289" s="7" t="s">
        <v>33</v>
      </c>
      <c r="C289" s="7" t="s">
        <v>843</v>
      </c>
      <c r="D289" s="7" t="s">
        <v>867</v>
      </c>
      <c r="E289" s="8" t="s">
        <v>868</v>
      </c>
      <c r="F289" s="9" t="s">
        <v>869</v>
      </c>
      <c r="G289" s="8" t="s">
        <v>869</v>
      </c>
      <c r="H289" s="15"/>
      <c r="I289" s="15"/>
      <c r="J289" s="10"/>
      <c r="K289" s="10"/>
      <c r="L289" s="10"/>
      <c r="M289" s="11" t="str">
        <f aca="false">IF(COUNTA(J289:L289)&lt;3,"",IF(COUNTIF(J289:L289,"유지")=3,"채택","제외"))</f>
        <v/>
      </c>
      <c r="N289" s="12"/>
    </row>
    <row r="290" customFormat="false" ht="15" hidden="false" customHeight="false" outlineLevel="0" collapsed="false">
      <c r="A290" s="7" t="n">
        <v>289</v>
      </c>
      <c r="B290" s="7" t="s">
        <v>33</v>
      </c>
      <c r="C290" s="7" t="s">
        <v>843</v>
      </c>
      <c r="D290" s="7" t="s">
        <v>870</v>
      </c>
      <c r="E290" s="8" t="s">
        <v>871</v>
      </c>
      <c r="F290" s="9" t="s">
        <v>872</v>
      </c>
      <c r="G290" s="8" t="s">
        <v>872</v>
      </c>
      <c r="H290" s="15"/>
      <c r="I290" s="15"/>
      <c r="J290" s="10"/>
      <c r="K290" s="10"/>
      <c r="L290" s="10"/>
      <c r="M290" s="11" t="str">
        <f aca="false">IF(COUNTA(J290:L290)&lt;3,"",IF(COUNTIF(J290:L290,"유지")=3,"채택","제외"))</f>
        <v/>
      </c>
      <c r="N290" s="12"/>
    </row>
    <row r="291" customFormat="false" ht="15" hidden="false" customHeight="false" outlineLevel="0" collapsed="false">
      <c r="A291" s="7" t="n">
        <v>290</v>
      </c>
      <c r="B291" s="7" t="s">
        <v>33</v>
      </c>
      <c r="C291" s="7" t="s">
        <v>843</v>
      </c>
      <c r="D291" s="7" t="s">
        <v>873</v>
      </c>
      <c r="E291" s="8" t="s">
        <v>874</v>
      </c>
      <c r="F291" s="9" t="s">
        <v>875</v>
      </c>
      <c r="G291" s="8" t="s">
        <v>875</v>
      </c>
      <c r="H291" s="13" t="s">
        <v>74</v>
      </c>
      <c r="I291" s="14"/>
      <c r="J291" s="10"/>
      <c r="K291" s="10"/>
      <c r="L291" s="10"/>
      <c r="M291" s="11" t="str">
        <f aca="false">IF(COUNTA(J291:L291)&lt;3,"",IF(COUNTIF(J291:L291,"유지")=3,"채택","제외"))</f>
        <v/>
      </c>
      <c r="N291" s="12"/>
    </row>
    <row r="292" customFormat="false" ht="15" hidden="false" customHeight="false" outlineLevel="0" collapsed="false">
      <c r="A292" s="7" t="n">
        <v>291</v>
      </c>
      <c r="B292" s="7" t="s">
        <v>33</v>
      </c>
      <c r="C292" s="7" t="s">
        <v>843</v>
      </c>
      <c r="D292" s="7" t="s">
        <v>876</v>
      </c>
      <c r="E292" s="8" t="s">
        <v>877</v>
      </c>
      <c r="F292" s="9" t="s">
        <v>878</v>
      </c>
      <c r="G292" s="8" t="s">
        <v>879</v>
      </c>
      <c r="H292" s="15"/>
      <c r="I292" s="15"/>
      <c r="J292" s="10"/>
      <c r="K292" s="10"/>
      <c r="L292" s="10"/>
      <c r="M292" s="11" t="str">
        <f aca="false">IF(COUNTA(J292:L292)&lt;3,"",IF(COUNTIF(J292:L292,"유지")=3,"채택","제외"))</f>
        <v/>
      </c>
      <c r="N292" s="12"/>
    </row>
    <row r="293" customFormat="false" ht="15" hidden="false" customHeight="false" outlineLevel="0" collapsed="false">
      <c r="A293" s="7" t="n">
        <v>292</v>
      </c>
      <c r="B293" s="7" t="s">
        <v>33</v>
      </c>
      <c r="C293" s="7" t="s">
        <v>843</v>
      </c>
      <c r="D293" s="7" t="s">
        <v>880</v>
      </c>
      <c r="E293" s="8" t="s">
        <v>881</v>
      </c>
      <c r="F293" s="9" t="s">
        <v>882</v>
      </c>
      <c r="G293" s="8" t="s">
        <v>882</v>
      </c>
      <c r="H293" s="15"/>
      <c r="I293" s="15"/>
      <c r="J293" s="10"/>
      <c r="K293" s="10"/>
      <c r="L293" s="10"/>
      <c r="M293" s="11" t="str">
        <f aca="false">IF(COUNTA(J293:L293)&lt;3,"",IF(COUNTIF(J293:L293,"유지")=3,"채택","제외"))</f>
        <v/>
      </c>
      <c r="N293" s="12"/>
    </row>
    <row r="294" customFormat="false" ht="15" hidden="false" customHeight="false" outlineLevel="0" collapsed="false">
      <c r="A294" s="7" t="n">
        <v>293</v>
      </c>
      <c r="B294" s="7" t="s">
        <v>33</v>
      </c>
      <c r="C294" s="7" t="s">
        <v>843</v>
      </c>
      <c r="D294" s="7" t="s">
        <v>883</v>
      </c>
      <c r="E294" s="8" t="s">
        <v>884</v>
      </c>
      <c r="F294" s="9" t="s">
        <v>885</v>
      </c>
      <c r="G294" s="8" t="s">
        <v>885</v>
      </c>
      <c r="H294" s="13" t="s">
        <v>74</v>
      </c>
      <c r="I294" s="14"/>
      <c r="J294" s="10"/>
      <c r="K294" s="10"/>
      <c r="L294" s="10"/>
      <c r="M294" s="11" t="str">
        <f aca="false">IF(COUNTA(J294:L294)&lt;3,"",IF(COUNTIF(J294:L294,"유지")=3,"채택","제외"))</f>
        <v/>
      </c>
      <c r="N294" s="12"/>
    </row>
    <row r="295" customFormat="false" ht="15" hidden="false" customHeight="false" outlineLevel="0" collapsed="false">
      <c r="A295" s="7" t="n">
        <v>294</v>
      </c>
      <c r="B295" s="7" t="s">
        <v>33</v>
      </c>
      <c r="C295" s="7" t="s">
        <v>843</v>
      </c>
      <c r="D295" s="7" t="s">
        <v>886</v>
      </c>
      <c r="E295" s="8" t="s">
        <v>887</v>
      </c>
      <c r="F295" s="9" t="s">
        <v>888</v>
      </c>
      <c r="G295" s="8" t="s">
        <v>888</v>
      </c>
      <c r="H295" s="15"/>
      <c r="I295" s="15"/>
      <c r="J295" s="10"/>
      <c r="K295" s="10"/>
      <c r="L295" s="10"/>
      <c r="M295" s="11" t="str">
        <f aca="false">IF(COUNTA(J295:L295)&lt;3,"",IF(COUNTIF(J295:L295,"유지")=3,"채택","제외"))</f>
        <v/>
      </c>
      <c r="N295" s="12"/>
    </row>
    <row r="296" customFormat="false" ht="15" hidden="false" customHeight="false" outlineLevel="0" collapsed="false">
      <c r="A296" s="7" t="n">
        <v>295</v>
      </c>
      <c r="B296" s="7" t="s">
        <v>33</v>
      </c>
      <c r="C296" s="7" t="s">
        <v>843</v>
      </c>
      <c r="D296" s="7" t="s">
        <v>886</v>
      </c>
      <c r="E296" s="8" t="s">
        <v>889</v>
      </c>
      <c r="F296" s="9" t="s">
        <v>890</v>
      </c>
      <c r="G296" s="8" t="s">
        <v>890</v>
      </c>
      <c r="H296" s="15"/>
      <c r="I296" s="15"/>
      <c r="J296" s="10"/>
      <c r="K296" s="10"/>
      <c r="L296" s="10"/>
      <c r="M296" s="11" t="str">
        <f aca="false">IF(COUNTA(J296:L296)&lt;3,"",IF(COUNTIF(J296:L296,"유지")=3,"채택","제외"))</f>
        <v/>
      </c>
      <c r="N296" s="12"/>
    </row>
    <row r="297" customFormat="false" ht="15" hidden="false" customHeight="false" outlineLevel="0" collapsed="false">
      <c r="A297" s="7" t="n">
        <v>296</v>
      </c>
      <c r="B297" s="7" t="s">
        <v>33</v>
      </c>
      <c r="C297" s="7" t="s">
        <v>843</v>
      </c>
      <c r="D297" s="7" t="s">
        <v>891</v>
      </c>
      <c r="E297" s="8" t="s">
        <v>892</v>
      </c>
      <c r="F297" s="9" t="s">
        <v>893</v>
      </c>
      <c r="G297" s="8" t="s">
        <v>893</v>
      </c>
      <c r="H297" s="15"/>
      <c r="I297" s="15"/>
      <c r="J297" s="10"/>
      <c r="K297" s="10"/>
      <c r="L297" s="10"/>
      <c r="M297" s="11" t="str">
        <f aca="false">IF(COUNTA(J297:L297)&lt;3,"",IF(COUNTIF(J297:L297,"유지")=3,"채택","제외"))</f>
        <v/>
      </c>
      <c r="N297" s="12"/>
    </row>
    <row r="298" customFormat="false" ht="15" hidden="false" customHeight="false" outlineLevel="0" collapsed="false">
      <c r="A298" s="7" t="n">
        <v>297</v>
      </c>
      <c r="B298" s="7" t="s">
        <v>33</v>
      </c>
      <c r="C298" s="7" t="s">
        <v>843</v>
      </c>
      <c r="D298" s="7" t="s">
        <v>894</v>
      </c>
      <c r="E298" s="8" t="s">
        <v>895</v>
      </c>
      <c r="F298" s="9" t="s">
        <v>896</v>
      </c>
      <c r="G298" s="8" t="s">
        <v>896</v>
      </c>
      <c r="H298" s="15"/>
      <c r="I298" s="15"/>
      <c r="J298" s="10"/>
      <c r="K298" s="10"/>
      <c r="L298" s="10"/>
      <c r="M298" s="11" t="str">
        <f aca="false">IF(COUNTA(J298:L298)&lt;3,"",IF(COUNTIF(J298:L298,"유지")=3,"채택","제외"))</f>
        <v/>
      </c>
      <c r="N298" s="12"/>
    </row>
    <row r="299" customFormat="false" ht="15" hidden="false" customHeight="false" outlineLevel="0" collapsed="false">
      <c r="A299" s="7" t="n">
        <v>298</v>
      </c>
      <c r="B299" s="7" t="s">
        <v>33</v>
      </c>
      <c r="C299" s="7" t="s">
        <v>843</v>
      </c>
      <c r="D299" s="7" t="s">
        <v>897</v>
      </c>
      <c r="E299" s="8" t="s">
        <v>898</v>
      </c>
      <c r="F299" s="9" t="s">
        <v>899</v>
      </c>
      <c r="G299" s="8" t="s">
        <v>899</v>
      </c>
      <c r="H299" s="14"/>
      <c r="I299" s="14" t="s">
        <v>900</v>
      </c>
      <c r="J299" s="10"/>
      <c r="K299" s="10"/>
      <c r="L299" s="10"/>
      <c r="M299" s="11" t="str">
        <f aca="false">IF(COUNTA(J299:L299)&lt;3,"",IF(COUNTIF(J299:L299,"유지")=3,"채택","제외"))</f>
        <v/>
      </c>
      <c r="N299" s="12"/>
    </row>
    <row r="300" customFormat="false" ht="29.85" hidden="false" customHeight="false" outlineLevel="0" collapsed="false">
      <c r="A300" s="7" t="n">
        <v>299</v>
      </c>
      <c r="B300" s="7" t="s">
        <v>33</v>
      </c>
      <c r="C300" s="7" t="s">
        <v>843</v>
      </c>
      <c r="D300" s="7" t="s">
        <v>897</v>
      </c>
      <c r="E300" s="8" t="s">
        <v>901</v>
      </c>
      <c r="F300" s="9" t="s">
        <v>902</v>
      </c>
      <c r="G300" s="8" t="s">
        <v>902</v>
      </c>
      <c r="H300" s="14"/>
      <c r="I300" s="14" t="s">
        <v>903</v>
      </c>
      <c r="J300" s="10"/>
      <c r="K300" s="10"/>
      <c r="L300" s="10"/>
      <c r="M300" s="11" t="str">
        <f aca="false">IF(COUNTA(J300:L300)&lt;3,"",IF(COUNTIF(J300:L300,"유지")=3,"채택","제외"))</f>
        <v/>
      </c>
      <c r="N300" s="12"/>
    </row>
    <row r="301" customFormat="false" ht="15" hidden="false" customHeight="false" outlineLevel="0" collapsed="false">
      <c r="A301" s="7" t="n">
        <v>300</v>
      </c>
      <c r="B301" s="7" t="s">
        <v>33</v>
      </c>
      <c r="C301" s="7" t="s">
        <v>843</v>
      </c>
      <c r="D301" s="7" t="s">
        <v>904</v>
      </c>
      <c r="E301" s="8" t="s">
        <v>905</v>
      </c>
      <c r="F301" s="9" t="s">
        <v>906</v>
      </c>
      <c r="G301" s="8" t="s">
        <v>906</v>
      </c>
      <c r="H301" s="15"/>
      <c r="I301" s="15"/>
      <c r="J301" s="10"/>
      <c r="K301" s="10"/>
      <c r="L301" s="10"/>
      <c r="M301" s="11" t="str">
        <f aca="false">IF(COUNTA(J301:L301)&lt;3,"",IF(COUNTIF(J301:L301,"유지")=3,"채택","제외"))</f>
        <v/>
      </c>
      <c r="N301" s="12"/>
    </row>
    <row r="302" customFormat="false" ht="15" hidden="false" customHeight="false" outlineLevel="0" collapsed="false">
      <c r="A302" s="7" t="n">
        <v>301</v>
      </c>
      <c r="B302" s="7" t="s">
        <v>33</v>
      </c>
      <c r="C302" s="7" t="s">
        <v>843</v>
      </c>
      <c r="D302" s="7" t="s">
        <v>907</v>
      </c>
      <c r="E302" s="8" t="s">
        <v>908</v>
      </c>
      <c r="F302" s="9" t="s">
        <v>909</v>
      </c>
      <c r="G302" s="8" t="s">
        <v>909</v>
      </c>
      <c r="H302" s="15"/>
      <c r="I302" s="15"/>
      <c r="J302" s="10"/>
      <c r="K302" s="10"/>
      <c r="L302" s="10"/>
      <c r="M302" s="11" t="str">
        <f aca="false">IF(COUNTA(J302:L302)&lt;3,"",IF(COUNTIF(J302:L302,"유지")=3,"채택","제외"))</f>
        <v/>
      </c>
      <c r="N302" s="12"/>
    </row>
    <row r="303" customFormat="false" ht="15" hidden="false" customHeight="false" outlineLevel="0" collapsed="false">
      <c r="A303" s="7" t="n">
        <v>302</v>
      </c>
      <c r="B303" s="7" t="s">
        <v>33</v>
      </c>
      <c r="C303" s="7" t="s">
        <v>843</v>
      </c>
      <c r="D303" s="7" t="s">
        <v>910</v>
      </c>
      <c r="E303" s="8" t="s">
        <v>911</v>
      </c>
      <c r="F303" s="9" t="s">
        <v>912</v>
      </c>
      <c r="G303" s="8" t="s">
        <v>912</v>
      </c>
      <c r="H303" s="15"/>
      <c r="I303" s="15"/>
      <c r="J303" s="10"/>
      <c r="K303" s="10"/>
      <c r="L303" s="10"/>
      <c r="M303" s="11" t="str">
        <f aca="false">IF(COUNTA(J303:L303)&lt;3,"",IF(COUNTIF(J303:L303,"유지")=3,"채택","제외"))</f>
        <v/>
      </c>
      <c r="N303" s="12"/>
    </row>
    <row r="304" customFormat="false" ht="15" hidden="false" customHeight="false" outlineLevel="0" collapsed="false">
      <c r="A304" s="7" t="n">
        <v>303</v>
      </c>
      <c r="B304" s="7" t="s">
        <v>33</v>
      </c>
      <c r="C304" s="7" t="s">
        <v>843</v>
      </c>
      <c r="D304" s="7" t="s">
        <v>913</v>
      </c>
      <c r="E304" s="8" t="s">
        <v>914</v>
      </c>
      <c r="F304" s="9" t="s">
        <v>915</v>
      </c>
      <c r="G304" s="8" t="s">
        <v>915</v>
      </c>
      <c r="H304" s="15"/>
      <c r="I304" s="15"/>
      <c r="J304" s="10"/>
      <c r="K304" s="10"/>
      <c r="L304" s="10"/>
      <c r="M304" s="11" t="str">
        <f aca="false">IF(COUNTA(J304:L304)&lt;3,"",IF(COUNTIF(J304:L304,"유지")=3,"채택","제외"))</f>
        <v/>
      </c>
      <c r="N304" s="12"/>
    </row>
    <row r="305" customFormat="false" ht="15" hidden="false" customHeight="false" outlineLevel="0" collapsed="false">
      <c r="A305" s="7" t="n">
        <v>304</v>
      </c>
      <c r="B305" s="7" t="s">
        <v>33</v>
      </c>
      <c r="C305" s="7" t="s">
        <v>843</v>
      </c>
      <c r="D305" s="7" t="s">
        <v>916</v>
      </c>
      <c r="E305" s="8" t="s">
        <v>917</v>
      </c>
      <c r="F305" s="9" t="s">
        <v>918</v>
      </c>
      <c r="G305" s="8" t="s">
        <v>918</v>
      </c>
      <c r="H305" s="15"/>
      <c r="I305" s="15"/>
      <c r="J305" s="10"/>
      <c r="K305" s="10"/>
      <c r="L305" s="10"/>
      <c r="M305" s="11" t="str">
        <f aca="false">IF(COUNTA(J305:L305)&lt;3,"",IF(COUNTIF(J305:L305,"유지")=3,"채택","제외"))</f>
        <v/>
      </c>
      <c r="N305" s="12"/>
    </row>
    <row r="306" customFormat="false" ht="15" hidden="false" customHeight="false" outlineLevel="0" collapsed="false">
      <c r="A306" s="7" t="n">
        <v>305</v>
      </c>
      <c r="B306" s="7" t="s">
        <v>33</v>
      </c>
      <c r="C306" s="7" t="s">
        <v>843</v>
      </c>
      <c r="D306" s="7" t="s">
        <v>919</v>
      </c>
      <c r="E306" s="8" t="s">
        <v>920</v>
      </c>
      <c r="F306" s="9" t="s">
        <v>921</v>
      </c>
      <c r="G306" s="8" t="s">
        <v>921</v>
      </c>
      <c r="H306" s="15"/>
      <c r="I306" s="15"/>
      <c r="J306" s="10"/>
      <c r="K306" s="10"/>
      <c r="L306" s="10"/>
      <c r="M306" s="11" t="str">
        <f aca="false">IF(COUNTA(J306:L306)&lt;3,"",IF(COUNTIF(J306:L306,"유지")=3,"채택","제외"))</f>
        <v/>
      </c>
      <c r="N306" s="12"/>
    </row>
    <row r="307" customFormat="false" ht="15" hidden="false" customHeight="false" outlineLevel="0" collapsed="false">
      <c r="A307" s="7" t="n">
        <v>306</v>
      </c>
      <c r="B307" s="7" t="s">
        <v>33</v>
      </c>
      <c r="C307" s="7" t="s">
        <v>843</v>
      </c>
      <c r="D307" s="7" t="s">
        <v>922</v>
      </c>
      <c r="E307" s="8" t="s">
        <v>923</v>
      </c>
      <c r="F307" s="9" t="s">
        <v>924</v>
      </c>
      <c r="G307" s="8" t="s">
        <v>924</v>
      </c>
      <c r="H307" s="15"/>
      <c r="I307" s="15"/>
      <c r="J307" s="10"/>
      <c r="K307" s="10"/>
      <c r="L307" s="10"/>
      <c r="M307" s="11" t="str">
        <f aca="false">IF(COUNTA(J307:L307)&lt;3,"",IF(COUNTIF(J307:L307,"유지")=3,"채택","제외"))</f>
        <v/>
      </c>
      <c r="N307" s="12"/>
    </row>
    <row r="308" customFormat="false" ht="15" hidden="false" customHeight="false" outlineLevel="0" collapsed="false">
      <c r="A308" s="7" t="n">
        <v>307</v>
      </c>
      <c r="B308" s="7" t="s">
        <v>33</v>
      </c>
      <c r="C308" s="7" t="s">
        <v>843</v>
      </c>
      <c r="D308" s="7" t="s">
        <v>925</v>
      </c>
      <c r="E308" s="8" t="s">
        <v>926</v>
      </c>
      <c r="F308" s="9" t="s">
        <v>927</v>
      </c>
      <c r="G308" s="8" t="s">
        <v>927</v>
      </c>
      <c r="H308" s="15"/>
      <c r="I308" s="15"/>
      <c r="J308" s="10"/>
      <c r="K308" s="10"/>
      <c r="L308" s="10"/>
      <c r="M308" s="11" t="str">
        <f aca="false">IF(COUNTA(J308:L308)&lt;3,"",IF(COUNTIF(J308:L308,"유지")=3,"채택","제외"))</f>
        <v/>
      </c>
      <c r="N308" s="12"/>
    </row>
    <row r="309" customFormat="false" ht="15" hidden="false" customHeight="false" outlineLevel="0" collapsed="false">
      <c r="A309" s="7" t="n">
        <v>308</v>
      </c>
      <c r="B309" s="7" t="s">
        <v>33</v>
      </c>
      <c r="C309" s="7" t="s">
        <v>843</v>
      </c>
      <c r="D309" s="7" t="s">
        <v>928</v>
      </c>
      <c r="E309" s="8" t="s">
        <v>929</v>
      </c>
      <c r="F309" s="9" t="s">
        <v>930</v>
      </c>
      <c r="G309" s="8" t="s">
        <v>931</v>
      </c>
      <c r="H309" s="13" t="s">
        <v>74</v>
      </c>
      <c r="I309" s="14"/>
      <c r="J309" s="10"/>
      <c r="K309" s="10"/>
      <c r="L309" s="10"/>
      <c r="M309" s="11" t="str">
        <f aca="false">IF(COUNTA(J309:L309)&lt;3,"",IF(COUNTIF(J309:L309,"유지")=3,"채택","제외"))</f>
        <v/>
      </c>
      <c r="N309" s="12"/>
    </row>
    <row r="310" customFormat="false" ht="15" hidden="false" customHeight="false" outlineLevel="0" collapsed="false">
      <c r="A310" s="7" t="n">
        <v>309</v>
      </c>
      <c r="B310" s="7" t="s">
        <v>33</v>
      </c>
      <c r="C310" s="7" t="s">
        <v>843</v>
      </c>
      <c r="D310" s="7" t="s">
        <v>932</v>
      </c>
      <c r="E310" s="8" t="s">
        <v>933</v>
      </c>
      <c r="F310" s="9" t="s">
        <v>934</v>
      </c>
      <c r="G310" s="8" t="s">
        <v>934</v>
      </c>
      <c r="H310" s="15"/>
      <c r="I310" s="15"/>
      <c r="J310" s="10"/>
      <c r="K310" s="10"/>
      <c r="L310" s="10"/>
      <c r="M310" s="11" t="str">
        <f aca="false">IF(COUNTA(J310:L310)&lt;3,"",IF(COUNTIF(J310:L310,"유지")=3,"채택","제외"))</f>
        <v/>
      </c>
      <c r="N310" s="12"/>
    </row>
    <row r="311" customFormat="false" ht="15" hidden="false" customHeight="false" outlineLevel="0" collapsed="false">
      <c r="A311" s="7" t="n">
        <v>310</v>
      </c>
      <c r="B311" s="7" t="s">
        <v>33</v>
      </c>
      <c r="C311" s="7" t="s">
        <v>843</v>
      </c>
      <c r="D311" s="7" t="s">
        <v>935</v>
      </c>
      <c r="E311" s="8" t="s">
        <v>936</v>
      </c>
      <c r="F311" s="9" t="s">
        <v>937</v>
      </c>
      <c r="G311" s="8" t="s">
        <v>937</v>
      </c>
      <c r="H311" s="15"/>
      <c r="I311" s="15"/>
      <c r="J311" s="10"/>
      <c r="K311" s="10"/>
      <c r="L311" s="10"/>
      <c r="M311" s="11" t="str">
        <f aca="false">IF(COUNTA(J311:L311)&lt;3,"",IF(COUNTIF(J311:L311,"유지")=3,"채택","제외"))</f>
        <v/>
      </c>
      <c r="N311" s="12"/>
    </row>
    <row r="312" customFormat="false" ht="15" hidden="false" customHeight="false" outlineLevel="0" collapsed="false">
      <c r="A312" s="7" t="n">
        <v>311</v>
      </c>
      <c r="B312" s="7" t="s">
        <v>33</v>
      </c>
      <c r="C312" s="7" t="s">
        <v>843</v>
      </c>
      <c r="D312" s="7" t="s">
        <v>938</v>
      </c>
      <c r="E312" s="8" t="s">
        <v>939</v>
      </c>
      <c r="F312" s="9" t="s">
        <v>940</v>
      </c>
      <c r="G312" s="8" t="s">
        <v>940</v>
      </c>
      <c r="H312" s="15"/>
      <c r="I312" s="15"/>
      <c r="J312" s="10"/>
      <c r="K312" s="10"/>
      <c r="L312" s="10"/>
      <c r="M312" s="11" t="str">
        <f aca="false">IF(COUNTA(J312:L312)&lt;3,"",IF(COUNTIF(J312:L312,"유지")=3,"채택","제외"))</f>
        <v/>
      </c>
      <c r="N312" s="12"/>
    </row>
    <row r="313" customFormat="false" ht="15" hidden="false" customHeight="false" outlineLevel="0" collapsed="false">
      <c r="A313" s="7" t="n">
        <v>312</v>
      </c>
      <c r="B313" s="7" t="s">
        <v>33</v>
      </c>
      <c r="C313" s="7" t="s">
        <v>843</v>
      </c>
      <c r="D313" s="7" t="s">
        <v>941</v>
      </c>
      <c r="E313" s="8" t="s">
        <v>942</v>
      </c>
      <c r="F313" s="9" t="s">
        <v>943</v>
      </c>
      <c r="G313" s="8" t="s">
        <v>943</v>
      </c>
      <c r="H313" s="15"/>
      <c r="I313" s="15"/>
      <c r="J313" s="10"/>
      <c r="K313" s="10"/>
      <c r="L313" s="10"/>
      <c r="M313" s="11" t="str">
        <f aca="false">IF(COUNTA(J313:L313)&lt;3,"",IF(COUNTIF(J313:L313,"유지")=3,"채택","제외"))</f>
        <v/>
      </c>
      <c r="N313" s="12"/>
    </row>
    <row r="314" customFormat="false" ht="15" hidden="false" customHeight="false" outlineLevel="0" collapsed="false">
      <c r="A314" s="7" t="n">
        <v>313</v>
      </c>
      <c r="B314" s="7" t="s">
        <v>33</v>
      </c>
      <c r="C314" s="7" t="s">
        <v>843</v>
      </c>
      <c r="D314" s="7" t="s">
        <v>944</v>
      </c>
      <c r="E314" s="8" t="s">
        <v>945</v>
      </c>
      <c r="F314" s="9" t="s">
        <v>946</v>
      </c>
      <c r="G314" s="8" t="s">
        <v>946</v>
      </c>
      <c r="H314" s="15"/>
      <c r="I314" s="15"/>
      <c r="J314" s="10"/>
      <c r="K314" s="10"/>
      <c r="L314" s="10"/>
      <c r="M314" s="11" t="str">
        <f aca="false">IF(COUNTA(J314:L314)&lt;3,"",IF(COUNTIF(J314:L314,"유지")=3,"채택","제외"))</f>
        <v/>
      </c>
      <c r="N314" s="12"/>
    </row>
    <row r="315" customFormat="false" ht="15" hidden="false" customHeight="false" outlineLevel="0" collapsed="false">
      <c r="A315" s="7" t="n">
        <v>314</v>
      </c>
      <c r="B315" s="7" t="s">
        <v>33</v>
      </c>
      <c r="C315" s="7" t="s">
        <v>843</v>
      </c>
      <c r="D315" s="7" t="s">
        <v>947</v>
      </c>
      <c r="E315" s="8" t="s">
        <v>948</v>
      </c>
      <c r="F315" s="9" t="s">
        <v>949</v>
      </c>
      <c r="G315" s="8" t="s">
        <v>950</v>
      </c>
      <c r="H315" s="15"/>
      <c r="I315" s="15"/>
      <c r="J315" s="10"/>
      <c r="K315" s="10"/>
      <c r="L315" s="10"/>
      <c r="M315" s="11" t="str">
        <f aca="false">IF(COUNTA(J315:L315)&lt;3,"",IF(COUNTIF(J315:L315,"유지")=3,"채택","제외"))</f>
        <v/>
      </c>
      <c r="N315" s="12"/>
    </row>
    <row r="316" customFormat="false" ht="15" hidden="false" customHeight="false" outlineLevel="0" collapsed="false">
      <c r="A316" s="7" t="n">
        <v>315</v>
      </c>
      <c r="B316" s="7" t="s">
        <v>33</v>
      </c>
      <c r="C316" s="7" t="s">
        <v>843</v>
      </c>
      <c r="D316" s="7" t="s">
        <v>951</v>
      </c>
      <c r="E316" s="8" t="s">
        <v>952</v>
      </c>
      <c r="F316" s="9" t="s">
        <v>953</v>
      </c>
      <c r="G316" s="8" t="s">
        <v>953</v>
      </c>
      <c r="H316" s="15"/>
      <c r="I316" s="15"/>
      <c r="J316" s="10"/>
      <c r="K316" s="10"/>
      <c r="L316" s="10"/>
      <c r="M316" s="11" t="str">
        <f aca="false">IF(COUNTA(J316:L316)&lt;3,"",IF(COUNTIF(J316:L316,"유지")=3,"채택","제외"))</f>
        <v/>
      </c>
      <c r="N316" s="12"/>
    </row>
    <row r="317" customFormat="false" ht="29.85" hidden="false" customHeight="false" outlineLevel="0" collapsed="false">
      <c r="A317" s="7" t="n">
        <v>316</v>
      </c>
      <c r="B317" s="7" t="s">
        <v>33</v>
      </c>
      <c r="C317" s="7" t="s">
        <v>843</v>
      </c>
      <c r="D317" s="7" t="s">
        <v>954</v>
      </c>
      <c r="E317" s="8" t="s">
        <v>955</v>
      </c>
      <c r="F317" s="9" t="s">
        <v>956</v>
      </c>
      <c r="G317" s="8" t="s">
        <v>956</v>
      </c>
      <c r="H317" s="13" t="s">
        <v>87</v>
      </c>
      <c r="I317" s="14" t="s">
        <v>957</v>
      </c>
      <c r="J317" s="10"/>
      <c r="K317" s="10"/>
      <c r="L317" s="10"/>
      <c r="M317" s="11" t="str">
        <f aca="false">IF(COUNTA(J317:L317)&lt;3,"",IF(COUNTIF(J317:L317,"유지")=3,"채택","제외"))</f>
        <v/>
      </c>
      <c r="N317" s="12"/>
    </row>
    <row r="318" customFormat="false" ht="15" hidden="false" customHeight="false" outlineLevel="0" collapsed="false">
      <c r="A318" s="7" t="n">
        <v>317</v>
      </c>
      <c r="B318" s="7" t="s">
        <v>33</v>
      </c>
      <c r="C318" s="7" t="s">
        <v>843</v>
      </c>
      <c r="D318" s="7" t="s">
        <v>958</v>
      </c>
      <c r="E318" s="8" t="s">
        <v>959</v>
      </c>
      <c r="F318" s="9" t="s">
        <v>960</v>
      </c>
      <c r="G318" s="8" t="s">
        <v>960</v>
      </c>
      <c r="H318" s="15"/>
      <c r="I318" s="15"/>
      <c r="J318" s="10"/>
      <c r="K318" s="10"/>
      <c r="L318" s="10"/>
      <c r="M318" s="11" t="str">
        <f aca="false">IF(COUNTA(J318:L318)&lt;3,"",IF(COUNTIF(J318:L318,"유지")=3,"채택","제외"))</f>
        <v/>
      </c>
      <c r="N318" s="12"/>
    </row>
    <row r="319" customFormat="false" ht="15" hidden="false" customHeight="false" outlineLevel="0" collapsed="false">
      <c r="A319" s="7" t="n">
        <v>318</v>
      </c>
      <c r="B319" s="7" t="s">
        <v>33</v>
      </c>
      <c r="C319" s="7" t="s">
        <v>843</v>
      </c>
      <c r="D319" s="7" t="s">
        <v>961</v>
      </c>
      <c r="E319" s="8" t="s">
        <v>962</v>
      </c>
      <c r="F319" s="9" t="s">
        <v>963</v>
      </c>
      <c r="G319" s="8" t="s">
        <v>963</v>
      </c>
      <c r="H319" s="15"/>
      <c r="I319" s="15"/>
      <c r="J319" s="10"/>
      <c r="K319" s="10"/>
      <c r="L319" s="10"/>
      <c r="M319" s="11" t="str">
        <f aca="false">IF(COUNTA(J319:L319)&lt;3,"",IF(COUNTIF(J319:L319,"유지")=3,"채택","제외"))</f>
        <v/>
      </c>
      <c r="N319" s="12"/>
    </row>
    <row r="320" customFormat="false" ht="15" hidden="false" customHeight="false" outlineLevel="0" collapsed="false">
      <c r="A320" s="7" t="n">
        <v>319</v>
      </c>
      <c r="B320" s="7" t="s">
        <v>33</v>
      </c>
      <c r="C320" s="7" t="s">
        <v>843</v>
      </c>
      <c r="D320" s="7" t="s">
        <v>964</v>
      </c>
      <c r="E320" s="8" t="s">
        <v>965</v>
      </c>
      <c r="F320" s="9" t="s">
        <v>966</v>
      </c>
      <c r="G320" s="8" t="s">
        <v>966</v>
      </c>
      <c r="H320" s="15"/>
      <c r="I320" s="15"/>
      <c r="J320" s="10"/>
      <c r="K320" s="10"/>
      <c r="L320" s="10"/>
      <c r="M320" s="11" t="str">
        <f aca="false">IF(COUNTA(J320:L320)&lt;3,"",IF(COUNTIF(J320:L320,"유지")=3,"채택","제외"))</f>
        <v/>
      </c>
      <c r="N320" s="12"/>
    </row>
    <row r="321" customFormat="false" ht="15" hidden="false" customHeight="false" outlineLevel="0" collapsed="false">
      <c r="A321" s="7" t="n">
        <v>320</v>
      </c>
      <c r="B321" s="7" t="s">
        <v>33</v>
      </c>
      <c r="C321" s="7" t="s">
        <v>843</v>
      </c>
      <c r="D321" s="7" t="s">
        <v>967</v>
      </c>
      <c r="E321" s="8" t="s">
        <v>968</v>
      </c>
      <c r="F321" s="9" t="s">
        <v>969</v>
      </c>
      <c r="G321" s="8" t="s">
        <v>969</v>
      </c>
      <c r="H321" s="15"/>
      <c r="I321" s="15"/>
      <c r="J321" s="10"/>
      <c r="K321" s="10"/>
      <c r="L321" s="10"/>
      <c r="M321" s="11" t="str">
        <f aca="false">IF(COUNTA(J321:L321)&lt;3,"",IF(COUNTIF(J321:L321,"유지")=3,"채택","제외"))</f>
        <v/>
      </c>
      <c r="N321" s="12"/>
    </row>
    <row r="322" customFormat="false" ht="15" hidden="false" customHeight="false" outlineLevel="0" collapsed="false">
      <c r="A322" s="7" t="n">
        <v>321</v>
      </c>
      <c r="B322" s="7" t="s">
        <v>33</v>
      </c>
      <c r="C322" s="7" t="s">
        <v>843</v>
      </c>
      <c r="D322" s="7" t="s">
        <v>970</v>
      </c>
      <c r="E322" s="8" t="s">
        <v>971</v>
      </c>
      <c r="F322" s="9" t="s">
        <v>972</v>
      </c>
      <c r="G322" s="8" t="s">
        <v>972</v>
      </c>
      <c r="H322" s="15"/>
      <c r="I322" s="15"/>
      <c r="J322" s="10"/>
      <c r="K322" s="10"/>
      <c r="L322" s="10"/>
      <c r="M322" s="11" t="str">
        <f aca="false">IF(COUNTA(J322:L322)&lt;3,"",IF(COUNTIF(J322:L322,"유지")=3,"채택","제외"))</f>
        <v/>
      </c>
      <c r="N322" s="12"/>
    </row>
    <row r="323" customFormat="false" ht="15" hidden="false" customHeight="false" outlineLevel="0" collapsed="false">
      <c r="A323" s="7" t="n">
        <v>322</v>
      </c>
      <c r="B323" s="7" t="s">
        <v>33</v>
      </c>
      <c r="C323" s="7" t="s">
        <v>843</v>
      </c>
      <c r="D323" s="7" t="s">
        <v>973</v>
      </c>
      <c r="E323" s="8" t="s">
        <v>974</v>
      </c>
      <c r="F323" s="9" t="s">
        <v>975</v>
      </c>
      <c r="G323" s="8" t="s">
        <v>975</v>
      </c>
      <c r="H323" s="15"/>
      <c r="I323" s="15"/>
      <c r="J323" s="10"/>
      <c r="K323" s="10"/>
      <c r="L323" s="10"/>
      <c r="M323" s="11" t="str">
        <f aca="false">IF(COUNTA(J323:L323)&lt;3,"",IF(COUNTIF(J323:L323,"유지")=3,"채택","제외"))</f>
        <v/>
      </c>
      <c r="N323" s="12"/>
    </row>
    <row r="324" customFormat="false" ht="15" hidden="false" customHeight="false" outlineLevel="0" collapsed="false">
      <c r="A324" s="7" t="n">
        <v>323</v>
      </c>
      <c r="B324" s="7" t="s">
        <v>33</v>
      </c>
      <c r="C324" s="7" t="s">
        <v>843</v>
      </c>
      <c r="D324" s="7" t="s">
        <v>976</v>
      </c>
      <c r="E324" s="8" t="s">
        <v>977</v>
      </c>
      <c r="F324" s="9" t="s">
        <v>978</v>
      </c>
      <c r="G324" s="8" t="s">
        <v>978</v>
      </c>
      <c r="H324" s="15"/>
      <c r="I324" s="15"/>
      <c r="J324" s="10"/>
      <c r="K324" s="10"/>
      <c r="L324" s="10"/>
      <c r="M324" s="11" t="str">
        <f aca="false">IF(COUNTA(J324:L324)&lt;3,"",IF(COUNTIF(J324:L324,"유지")=3,"채택","제외"))</f>
        <v/>
      </c>
      <c r="N324" s="12"/>
    </row>
    <row r="325" customFormat="false" ht="15" hidden="false" customHeight="false" outlineLevel="0" collapsed="false">
      <c r="A325" s="7" t="n">
        <v>324</v>
      </c>
      <c r="B325" s="7" t="s">
        <v>33</v>
      </c>
      <c r="C325" s="7" t="s">
        <v>843</v>
      </c>
      <c r="D325" s="7" t="s">
        <v>979</v>
      </c>
      <c r="E325" s="8" t="s">
        <v>980</v>
      </c>
      <c r="F325" s="9" t="s">
        <v>981</v>
      </c>
      <c r="G325" s="8" t="s">
        <v>981</v>
      </c>
      <c r="H325" s="15"/>
      <c r="I325" s="15"/>
      <c r="J325" s="10"/>
      <c r="K325" s="10"/>
      <c r="L325" s="10"/>
      <c r="M325" s="11" t="str">
        <f aca="false">IF(COUNTA(J325:L325)&lt;3,"",IF(COUNTIF(J325:L325,"유지")=3,"채택","제외"))</f>
        <v/>
      </c>
      <c r="N325" s="12"/>
    </row>
    <row r="326" customFormat="false" ht="15" hidden="false" customHeight="false" outlineLevel="0" collapsed="false">
      <c r="A326" s="7" t="n">
        <v>325</v>
      </c>
      <c r="B326" s="7" t="s">
        <v>33</v>
      </c>
      <c r="C326" s="7" t="s">
        <v>843</v>
      </c>
      <c r="D326" s="7" t="s">
        <v>982</v>
      </c>
      <c r="E326" s="8" t="s">
        <v>983</v>
      </c>
      <c r="F326" s="9" t="s">
        <v>984</v>
      </c>
      <c r="G326" s="8" t="s">
        <v>984</v>
      </c>
      <c r="H326" s="15"/>
      <c r="I326" s="15"/>
      <c r="J326" s="10"/>
      <c r="K326" s="10"/>
      <c r="L326" s="10"/>
      <c r="M326" s="11" t="str">
        <f aca="false">IF(COUNTA(J326:L326)&lt;3,"",IF(COUNTIF(J326:L326,"유지")=3,"채택","제외"))</f>
        <v/>
      </c>
      <c r="N326" s="12"/>
    </row>
    <row r="327" customFormat="false" ht="15" hidden="false" customHeight="false" outlineLevel="0" collapsed="false">
      <c r="A327" s="7" t="n">
        <v>326</v>
      </c>
      <c r="B327" s="7" t="s">
        <v>33</v>
      </c>
      <c r="C327" s="7" t="s">
        <v>843</v>
      </c>
      <c r="D327" s="7" t="s">
        <v>982</v>
      </c>
      <c r="E327" s="8" t="s">
        <v>985</v>
      </c>
      <c r="F327" s="9" t="s">
        <v>986</v>
      </c>
      <c r="G327" s="8" t="s">
        <v>986</v>
      </c>
      <c r="H327" s="15"/>
      <c r="I327" s="15"/>
      <c r="J327" s="10"/>
      <c r="K327" s="10"/>
      <c r="L327" s="10"/>
      <c r="M327" s="11" t="str">
        <f aca="false">IF(COUNTA(J327:L327)&lt;3,"",IF(COUNTIF(J327:L327,"유지")=3,"채택","제외"))</f>
        <v/>
      </c>
      <c r="N327" s="12"/>
    </row>
    <row r="328" customFormat="false" ht="15" hidden="false" customHeight="false" outlineLevel="0" collapsed="false">
      <c r="A328" s="7" t="n">
        <v>327</v>
      </c>
      <c r="B328" s="7" t="s">
        <v>33</v>
      </c>
      <c r="C328" s="7" t="s">
        <v>843</v>
      </c>
      <c r="D328" s="7" t="s">
        <v>987</v>
      </c>
      <c r="E328" s="8" t="s">
        <v>988</v>
      </c>
      <c r="F328" s="9" t="s">
        <v>989</v>
      </c>
      <c r="G328" s="8" t="s">
        <v>989</v>
      </c>
      <c r="H328" s="15"/>
      <c r="I328" s="15"/>
      <c r="J328" s="10"/>
      <c r="K328" s="10"/>
      <c r="L328" s="10"/>
      <c r="M328" s="11" t="str">
        <f aca="false">IF(COUNTA(J328:L328)&lt;3,"",IF(COUNTIF(J328:L328,"유지")=3,"채택","제외"))</f>
        <v/>
      </c>
      <c r="N328" s="12"/>
    </row>
    <row r="329" customFormat="false" ht="29.85" hidden="false" customHeight="false" outlineLevel="0" collapsed="false">
      <c r="A329" s="7" t="n">
        <v>328</v>
      </c>
      <c r="B329" s="7" t="s">
        <v>33</v>
      </c>
      <c r="C329" s="7" t="s">
        <v>843</v>
      </c>
      <c r="D329" s="7" t="s">
        <v>987</v>
      </c>
      <c r="E329" s="8" t="s">
        <v>990</v>
      </c>
      <c r="F329" s="9" t="s">
        <v>991</v>
      </c>
      <c r="G329" s="8" t="s">
        <v>991</v>
      </c>
      <c r="H329" s="14"/>
      <c r="I329" s="14" t="s">
        <v>992</v>
      </c>
      <c r="J329" s="10"/>
      <c r="K329" s="10"/>
      <c r="L329" s="10"/>
      <c r="M329" s="11" t="str">
        <f aca="false">IF(COUNTA(J329:L329)&lt;3,"",IF(COUNTIF(J329:L329,"유지")=3,"채택","제외"))</f>
        <v/>
      </c>
      <c r="N329" s="12"/>
    </row>
    <row r="330" customFormat="false" ht="15" hidden="false" customHeight="false" outlineLevel="0" collapsed="false">
      <c r="A330" s="7" t="n">
        <v>329</v>
      </c>
      <c r="B330" s="7" t="s">
        <v>33</v>
      </c>
      <c r="C330" s="7" t="s">
        <v>843</v>
      </c>
      <c r="D330" s="7" t="s">
        <v>993</v>
      </c>
      <c r="E330" s="8" t="s">
        <v>994</v>
      </c>
      <c r="F330" s="9" t="s">
        <v>995</v>
      </c>
      <c r="G330" s="8" t="s">
        <v>995</v>
      </c>
      <c r="H330" s="15"/>
      <c r="I330" s="15"/>
      <c r="J330" s="10"/>
      <c r="K330" s="10"/>
      <c r="L330" s="10"/>
      <c r="M330" s="11" t="str">
        <f aca="false">IF(COUNTA(J330:L330)&lt;3,"",IF(COUNTIF(J330:L330,"유지")=3,"채택","제외"))</f>
        <v/>
      </c>
      <c r="N330" s="12"/>
    </row>
    <row r="331" customFormat="false" ht="15" hidden="false" customHeight="false" outlineLevel="0" collapsed="false">
      <c r="A331" s="7" t="n">
        <v>330</v>
      </c>
      <c r="B331" s="7" t="s">
        <v>33</v>
      </c>
      <c r="C331" s="7" t="s">
        <v>843</v>
      </c>
      <c r="D331" s="7" t="s">
        <v>996</v>
      </c>
      <c r="E331" s="8" t="s">
        <v>997</v>
      </c>
      <c r="F331" s="9" t="s">
        <v>998</v>
      </c>
      <c r="G331" s="8" t="s">
        <v>998</v>
      </c>
      <c r="H331" s="15"/>
      <c r="I331" s="15"/>
      <c r="J331" s="10"/>
      <c r="K331" s="10"/>
      <c r="L331" s="10"/>
      <c r="M331" s="11" t="str">
        <f aca="false">IF(COUNTA(J331:L331)&lt;3,"",IF(COUNTIF(J331:L331,"유지")=3,"채택","제외"))</f>
        <v/>
      </c>
      <c r="N331" s="12"/>
    </row>
    <row r="332" customFormat="false" ht="15" hidden="false" customHeight="false" outlineLevel="0" collapsed="false">
      <c r="A332" s="7" t="n">
        <v>331</v>
      </c>
      <c r="B332" s="7" t="s">
        <v>33</v>
      </c>
      <c r="C332" s="7" t="s">
        <v>843</v>
      </c>
      <c r="D332" s="7" t="s">
        <v>999</v>
      </c>
      <c r="E332" s="8" t="s">
        <v>1000</v>
      </c>
      <c r="F332" s="9" t="s">
        <v>1001</v>
      </c>
      <c r="G332" s="8" t="s">
        <v>1001</v>
      </c>
      <c r="H332" s="15"/>
      <c r="I332" s="15"/>
      <c r="J332" s="10"/>
      <c r="K332" s="10"/>
      <c r="L332" s="10"/>
      <c r="M332" s="11" t="str">
        <f aca="false">IF(COUNTA(J332:L332)&lt;3,"",IF(COUNTIF(J332:L332,"유지")=3,"채택","제외"))</f>
        <v/>
      </c>
      <c r="N332" s="12"/>
    </row>
    <row r="333" customFormat="false" ht="15" hidden="false" customHeight="false" outlineLevel="0" collapsed="false">
      <c r="A333" s="7" t="n">
        <v>332</v>
      </c>
      <c r="B333" s="7" t="s">
        <v>33</v>
      </c>
      <c r="C333" s="7" t="s">
        <v>843</v>
      </c>
      <c r="D333" s="7" t="s">
        <v>1002</v>
      </c>
      <c r="E333" s="8" t="s">
        <v>85</v>
      </c>
      <c r="F333" s="9" t="s">
        <v>86</v>
      </c>
      <c r="G333" s="8" t="s">
        <v>86</v>
      </c>
      <c r="H333" s="13" t="s">
        <v>87</v>
      </c>
      <c r="I333" s="14"/>
      <c r="J333" s="10"/>
      <c r="K333" s="10"/>
      <c r="L333" s="10"/>
      <c r="M333" s="11" t="str">
        <f aca="false">IF(COUNTA(J333:L333)&lt;3,"",IF(COUNTIF(J333:L333,"유지")=3,"채택","제외"))</f>
        <v/>
      </c>
      <c r="N333" s="12"/>
    </row>
    <row r="334" customFormat="false" ht="15" hidden="false" customHeight="false" outlineLevel="0" collapsed="false">
      <c r="A334" s="7" t="n">
        <v>333</v>
      </c>
      <c r="B334" s="7" t="s">
        <v>33</v>
      </c>
      <c r="C334" s="7" t="s">
        <v>843</v>
      </c>
      <c r="D334" s="7" t="s">
        <v>1003</v>
      </c>
      <c r="E334" s="8" t="s">
        <v>1004</v>
      </c>
      <c r="F334" s="9" t="s">
        <v>1005</v>
      </c>
      <c r="G334" s="8" t="s">
        <v>1005</v>
      </c>
      <c r="H334" s="15"/>
      <c r="I334" s="15"/>
      <c r="J334" s="10"/>
      <c r="K334" s="10"/>
      <c r="L334" s="10"/>
      <c r="M334" s="11" t="str">
        <f aca="false">IF(COUNTA(J334:L334)&lt;3,"",IF(COUNTIF(J334:L334,"유지")=3,"채택","제외"))</f>
        <v/>
      </c>
      <c r="N334" s="12"/>
    </row>
    <row r="335" customFormat="false" ht="15" hidden="false" customHeight="false" outlineLevel="0" collapsed="false">
      <c r="A335" s="7" t="n">
        <v>334</v>
      </c>
      <c r="B335" s="7" t="s">
        <v>33</v>
      </c>
      <c r="C335" s="7" t="s">
        <v>843</v>
      </c>
      <c r="D335" s="7" t="s">
        <v>1006</v>
      </c>
      <c r="E335" s="8" t="s">
        <v>1007</v>
      </c>
      <c r="F335" s="9" t="s">
        <v>1008</v>
      </c>
      <c r="G335" s="8" t="s">
        <v>1008</v>
      </c>
      <c r="H335" s="15"/>
      <c r="I335" s="15"/>
      <c r="J335" s="10"/>
      <c r="K335" s="10"/>
      <c r="L335" s="10"/>
      <c r="M335" s="11" t="str">
        <f aca="false">IF(COUNTA(J335:L335)&lt;3,"",IF(COUNTIF(J335:L335,"유지")=3,"채택","제외"))</f>
        <v/>
      </c>
      <c r="N335" s="12"/>
    </row>
    <row r="336" customFormat="false" ht="15" hidden="false" customHeight="false" outlineLevel="0" collapsed="false">
      <c r="A336" s="7" t="n">
        <v>335</v>
      </c>
      <c r="B336" s="7" t="s">
        <v>33</v>
      </c>
      <c r="C336" s="7" t="s">
        <v>843</v>
      </c>
      <c r="D336" s="7" t="s">
        <v>1009</v>
      </c>
      <c r="E336" s="8" t="s">
        <v>1010</v>
      </c>
      <c r="F336" s="9" t="s">
        <v>1011</v>
      </c>
      <c r="G336" s="8" t="s">
        <v>956</v>
      </c>
      <c r="H336" s="13" t="s">
        <v>87</v>
      </c>
      <c r="I336" s="14"/>
      <c r="J336" s="10"/>
      <c r="K336" s="10"/>
      <c r="L336" s="10"/>
      <c r="M336" s="11" t="str">
        <f aca="false">IF(COUNTA(J336:L336)&lt;3,"",IF(COUNTIF(J336:L336,"유지")=3,"채택","제외"))</f>
        <v/>
      </c>
      <c r="N336" s="12"/>
    </row>
    <row r="337" customFormat="false" ht="15" hidden="false" customHeight="false" outlineLevel="0" collapsed="false">
      <c r="A337" s="7" t="n">
        <v>336</v>
      </c>
      <c r="B337" s="7" t="s">
        <v>33</v>
      </c>
      <c r="C337" s="7" t="s">
        <v>843</v>
      </c>
      <c r="D337" s="7" t="s">
        <v>1012</v>
      </c>
      <c r="E337" s="8" t="s">
        <v>1013</v>
      </c>
      <c r="F337" s="9" t="s">
        <v>1014</v>
      </c>
      <c r="G337" s="8" t="s">
        <v>1014</v>
      </c>
      <c r="H337" s="15"/>
      <c r="I337" s="15"/>
      <c r="J337" s="10"/>
      <c r="K337" s="10"/>
      <c r="L337" s="10"/>
      <c r="M337" s="11" t="str">
        <f aca="false">IF(COUNTA(J337:L337)&lt;3,"",IF(COUNTIF(J337:L337,"유지")=3,"채택","제외"))</f>
        <v/>
      </c>
      <c r="N337" s="12"/>
    </row>
    <row r="338" customFormat="false" ht="15" hidden="false" customHeight="false" outlineLevel="0" collapsed="false">
      <c r="A338" s="7" t="n">
        <v>337</v>
      </c>
      <c r="B338" s="7" t="s">
        <v>33</v>
      </c>
      <c r="C338" s="7" t="s">
        <v>843</v>
      </c>
      <c r="D338" s="7" t="s">
        <v>1015</v>
      </c>
      <c r="E338" s="8" t="s">
        <v>1016</v>
      </c>
      <c r="F338" s="9" t="s">
        <v>1017</v>
      </c>
      <c r="G338" s="8" t="s">
        <v>1017</v>
      </c>
      <c r="H338" s="15"/>
      <c r="I338" s="15"/>
      <c r="J338" s="10"/>
      <c r="K338" s="10"/>
      <c r="L338" s="10"/>
      <c r="M338" s="11" t="str">
        <f aca="false">IF(COUNTA(J338:L338)&lt;3,"",IF(COUNTIF(J338:L338,"유지")=3,"채택","제외"))</f>
        <v/>
      </c>
      <c r="N338" s="12"/>
    </row>
    <row r="339" customFormat="false" ht="15" hidden="false" customHeight="false" outlineLevel="0" collapsed="false">
      <c r="A339" s="7" t="n">
        <v>338</v>
      </c>
      <c r="B339" s="7" t="s">
        <v>33</v>
      </c>
      <c r="C339" s="7" t="s">
        <v>843</v>
      </c>
      <c r="D339" s="7" t="s">
        <v>1018</v>
      </c>
      <c r="E339" s="8" t="s">
        <v>1019</v>
      </c>
      <c r="F339" s="9" t="s">
        <v>1020</v>
      </c>
      <c r="G339" s="8" t="s">
        <v>1020</v>
      </c>
      <c r="H339" s="15"/>
      <c r="I339" s="15"/>
      <c r="J339" s="10"/>
      <c r="K339" s="10"/>
      <c r="L339" s="10"/>
      <c r="M339" s="11" t="str">
        <f aca="false">IF(COUNTA(J339:L339)&lt;3,"",IF(COUNTIF(J339:L339,"유지")=3,"채택","제외"))</f>
        <v/>
      </c>
      <c r="N339" s="12"/>
    </row>
    <row r="340" customFormat="false" ht="15" hidden="false" customHeight="false" outlineLevel="0" collapsed="false">
      <c r="A340" s="7" t="n">
        <v>339</v>
      </c>
      <c r="B340" s="7" t="s">
        <v>33</v>
      </c>
      <c r="C340" s="7" t="s">
        <v>843</v>
      </c>
      <c r="D340" s="7" t="s">
        <v>1021</v>
      </c>
      <c r="E340" s="8" t="s">
        <v>1022</v>
      </c>
      <c r="F340" s="9" t="s">
        <v>1023</v>
      </c>
      <c r="G340" s="8" t="s">
        <v>1023</v>
      </c>
      <c r="H340" s="15"/>
      <c r="I340" s="15"/>
      <c r="J340" s="10"/>
      <c r="K340" s="10"/>
      <c r="L340" s="10"/>
      <c r="M340" s="11" t="str">
        <f aca="false">IF(COUNTA(J340:L340)&lt;3,"",IF(COUNTIF(J340:L340,"유지")=3,"채택","제외"))</f>
        <v/>
      </c>
      <c r="N340" s="12"/>
    </row>
    <row r="341" customFormat="false" ht="15" hidden="false" customHeight="false" outlineLevel="0" collapsed="false">
      <c r="A341" s="7" t="n">
        <v>340</v>
      </c>
      <c r="B341" s="7" t="s">
        <v>33</v>
      </c>
      <c r="C341" s="7" t="s">
        <v>843</v>
      </c>
      <c r="D341" s="7" t="s">
        <v>1024</v>
      </c>
      <c r="E341" s="8" t="s">
        <v>675</v>
      </c>
      <c r="F341" s="9" t="s">
        <v>676</v>
      </c>
      <c r="G341" s="8" t="s">
        <v>676</v>
      </c>
      <c r="H341" s="13" t="s">
        <v>87</v>
      </c>
      <c r="I341" s="14"/>
      <c r="J341" s="10"/>
      <c r="K341" s="10"/>
      <c r="L341" s="10"/>
      <c r="M341" s="11" t="str">
        <f aca="false">IF(COUNTA(J341:L341)&lt;3,"",IF(COUNTIF(J341:L341,"유지")=3,"채택","제외"))</f>
        <v/>
      </c>
      <c r="N341" s="12"/>
    </row>
    <row r="342" customFormat="false" ht="15" hidden="false" customHeight="false" outlineLevel="0" collapsed="false">
      <c r="A342" s="7" t="n">
        <v>341</v>
      </c>
      <c r="B342" s="7" t="s">
        <v>1025</v>
      </c>
      <c r="C342" s="7" t="s">
        <v>1026</v>
      </c>
      <c r="D342" s="7" t="s">
        <v>1026</v>
      </c>
      <c r="E342" s="8" t="s">
        <v>1027</v>
      </c>
      <c r="F342" s="9" t="s">
        <v>1028</v>
      </c>
      <c r="G342" s="8" t="s">
        <v>1028</v>
      </c>
      <c r="H342" s="15"/>
      <c r="I342" s="15"/>
      <c r="J342" s="10"/>
      <c r="K342" s="10"/>
      <c r="L342" s="10"/>
      <c r="M342" s="11" t="str">
        <f aca="false">IF(COUNTA(J342:L342)&lt;3,"",IF(COUNTIF(J342:L342,"유지")=3,"채택","제외"))</f>
        <v/>
      </c>
      <c r="N342" s="12"/>
    </row>
    <row r="343" customFormat="false" ht="15" hidden="false" customHeight="false" outlineLevel="0" collapsed="false">
      <c r="A343" s="7" t="n">
        <v>342</v>
      </c>
      <c r="B343" s="7" t="s">
        <v>1025</v>
      </c>
      <c r="C343" s="7" t="s">
        <v>1026</v>
      </c>
      <c r="D343" s="7" t="s">
        <v>1029</v>
      </c>
      <c r="E343" s="8" t="s">
        <v>1030</v>
      </c>
      <c r="F343" s="9" t="s">
        <v>1031</v>
      </c>
      <c r="G343" s="8" t="s">
        <v>1031</v>
      </c>
      <c r="H343" s="15"/>
      <c r="I343" s="15"/>
      <c r="J343" s="10"/>
      <c r="K343" s="10"/>
      <c r="L343" s="10"/>
      <c r="M343" s="11" t="str">
        <f aca="false">IF(COUNTA(J343:L343)&lt;3,"",IF(COUNTIF(J343:L343,"유지")=3,"채택","제외"))</f>
        <v/>
      </c>
      <c r="N343" s="12"/>
    </row>
    <row r="344" customFormat="false" ht="15" hidden="false" customHeight="false" outlineLevel="0" collapsed="false">
      <c r="A344" s="7" t="n">
        <v>343</v>
      </c>
      <c r="B344" s="7" t="s">
        <v>1025</v>
      </c>
      <c r="C344" s="7" t="s">
        <v>1026</v>
      </c>
      <c r="D344" s="7" t="s">
        <v>1032</v>
      </c>
      <c r="E344" s="8" t="s">
        <v>1033</v>
      </c>
      <c r="F344" s="9" t="s">
        <v>1034</v>
      </c>
      <c r="G344" s="8" t="s">
        <v>1034</v>
      </c>
      <c r="H344" s="15"/>
      <c r="I344" s="15"/>
      <c r="J344" s="10"/>
      <c r="K344" s="10"/>
      <c r="L344" s="10"/>
      <c r="M344" s="11" t="str">
        <f aca="false">IF(COUNTA(J344:L344)&lt;3,"",IF(COUNTIF(J344:L344,"유지")=3,"채택","제외"))</f>
        <v/>
      </c>
      <c r="N344" s="12"/>
    </row>
    <row r="345" customFormat="false" ht="15" hidden="false" customHeight="false" outlineLevel="0" collapsed="false">
      <c r="A345" s="7" t="n">
        <v>344</v>
      </c>
      <c r="B345" s="7" t="s">
        <v>1025</v>
      </c>
      <c r="C345" s="7" t="s">
        <v>1026</v>
      </c>
      <c r="D345" s="7" t="s">
        <v>1035</v>
      </c>
      <c r="E345" s="8" t="s">
        <v>1036</v>
      </c>
      <c r="F345" s="9" t="s">
        <v>1037</v>
      </c>
      <c r="G345" s="8" t="s">
        <v>1037</v>
      </c>
      <c r="H345" s="13" t="s">
        <v>87</v>
      </c>
      <c r="I345" s="14"/>
      <c r="J345" s="10"/>
      <c r="K345" s="10"/>
      <c r="L345" s="10"/>
      <c r="M345" s="11" t="str">
        <f aca="false">IF(COUNTA(J345:L345)&lt;3,"",IF(COUNTIF(J345:L345,"유지")=3,"채택","제외"))</f>
        <v/>
      </c>
      <c r="N345" s="12"/>
    </row>
    <row r="346" customFormat="false" ht="15" hidden="false" customHeight="false" outlineLevel="0" collapsed="false">
      <c r="A346" s="7" t="n">
        <v>345</v>
      </c>
      <c r="B346" s="7" t="s">
        <v>1025</v>
      </c>
      <c r="C346" s="7" t="s">
        <v>1026</v>
      </c>
      <c r="D346" s="7" t="s">
        <v>1038</v>
      </c>
      <c r="E346" s="8" t="s">
        <v>1039</v>
      </c>
      <c r="F346" s="9" t="s">
        <v>1040</v>
      </c>
      <c r="G346" s="8" t="s">
        <v>1040</v>
      </c>
      <c r="H346" s="15"/>
      <c r="I346" s="15"/>
      <c r="J346" s="10"/>
      <c r="K346" s="10"/>
      <c r="L346" s="10"/>
      <c r="M346" s="11" t="str">
        <f aca="false">IF(COUNTA(J346:L346)&lt;3,"",IF(COUNTIF(J346:L346,"유지")=3,"채택","제외"))</f>
        <v/>
      </c>
      <c r="N346" s="12"/>
    </row>
    <row r="347" customFormat="false" ht="15" hidden="false" customHeight="false" outlineLevel="0" collapsed="false">
      <c r="A347" s="7" t="n">
        <v>346</v>
      </c>
      <c r="B347" s="7" t="s">
        <v>1025</v>
      </c>
      <c r="C347" s="7" t="s">
        <v>1026</v>
      </c>
      <c r="D347" s="7" t="s">
        <v>1038</v>
      </c>
      <c r="E347" s="8" t="s">
        <v>1041</v>
      </c>
      <c r="F347" s="9" t="s">
        <v>1042</v>
      </c>
      <c r="G347" s="8" t="s">
        <v>1043</v>
      </c>
      <c r="H347" s="13" t="s">
        <v>1044</v>
      </c>
      <c r="I347" s="14"/>
      <c r="J347" s="10"/>
      <c r="K347" s="10"/>
      <c r="L347" s="10"/>
      <c r="M347" s="11" t="str">
        <f aca="false">IF(COUNTA(J347:L347)&lt;3,"",IF(COUNTIF(J347:L347,"유지")=3,"채택","제외"))</f>
        <v/>
      </c>
      <c r="N347" s="12"/>
    </row>
    <row r="348" customFormat="false" ht="15" hidden="false" customHeight="false" outlineLevel="0" collapsed="false">
      <c r="A348" s="7" t="n">
        <v>347</v>
      </c>
      <c r="B348" s="7" t="s">
        <v>1025</v>
      </c>
      <c r="C348" s="7" t="s">
        <v>1026</v>
      </c>
      <c r="D348" s="7" t="s">
        <v>1045</v>
      </c>
      <c r="E348" s="8" t="s">
        <v>1046</v>
      </c>
      <c r="F348" s="9" t="s">
        <v>1047</v>
      </c>
      <c r="G348" s="8" t="s">
        <v>1047</v>
      </c>
      <c r="H348" s="13" t="s">
        <v>87</v>
      </c>
      <c r="I348" s="14"/>
      <c r="J348" s="10"/>
      <c r="K348" s="10"/>
      <c r="L348" s="10"/>
      <c r="M348" s="11" t="str">
        <f aca="false">IF(COUNTA(J348:L348)&lt;3,"",IF(COUNTIF(J348:L348,"유지")=3,"채택","제외"))</f>
        <v/>
      </c>
      <c r="N348" s="12"/>
    </row>
    <row r="349" customFormat="false" ht="15" hidden="false" customHeight="false" outlineLevel="0" collapsed="false">
      <c r="A349" s="7" t="n">
        <v>348</v>
      </c>
      <c r="B349" s="7" t="s">
        <v>1025</v>
      </c>
      <c r="C349" s="7" t="s">
        <v>1026</v>
      </c>
      <c r="D349" s="7" t="s">
        <v>1048</v>
      </c>
      <c r="E349" s="8" t="s">
        <v>1049</v>
      </c>
      <c r="F349" s="9" t="s">
        <v>1050</v>
      </c>
      <c r="G349" s="8" t="s">
        <v>1050</v>
      </c>
      <c r="H349" s="15"/>
      <c r="I349" s="15"/>
      <c r="J349" s="10"/>
      <c r="K349" s="10"/>
      <c r="L349" s="10"/>
      <c r="M349" s="11" t="str">
        <f aca="false">IF(COUNTA(J349:L349)&lt;3,"",IF(COUNTIF(J349:L349,"유지")=3,"채택","제외"))</f>
        <v/>
      </c>
      <c r="N349" s="12"/>
    </row>
    <row r="350" customFormat="false" ht="15" hidden="false" customHeight="false" outlineLevel="0" collapsed="false">
      <c r="A350" s="7" t="n">
        <v>349</v>
      </c>
      <c r="B350" s="7" t="s">
        <v>1025</v>
      </c>
      <c r="C350" s="7" t="s">
        <v>1026</v>
      </c>
      <c r="D350" s="7" t="s">
        <v>1051</v>
      </c>
      <c r="E350" s="8" t="s">
        <v>1052</v>
      </c>
      <c r="F350" s="9" t="s">
        <v>1053</v>
      </c>
      <c r="G350" s="8" t="s">
        <v>1053</v>
      </c>
      <c r="H350" s="13" t="s">
        <v>87</v>
      </c>
      <c r="I350" s="14"/>
      <c r="J350" s="10"/>
      <c r="K350" s="10"/>
      <c r="L350" s="10"/>
      <c r="M350" s="11" t="str">
        <f aca="false">IF(COUNTA(J350:L350)&lt;3,"",IF(COUNTIF(J350:L350,"유지")=3,"채택","제외"))</f>
        <v/>
      </c>
      <c r="N350" s="12"/>
    </row>
    <row r="351" customFormat="false" ht="15" hidden="false" customHeight="false" outlineLevel="0" collapsed="false">
      <c r="A351" s="7" t="n">
        <v>350</v>
      </c>
      <c r="B351" s="7" t="s">
        <v>1025</v>
      </c>
      <c r="C351" s="7" t="s">
        <v>1026</v>
      </c>
      <c r="D351" s="7" t="s">
        <v>1054</v>
      </c>
      <c r="E351" s="8" t="s">
        <v>1052</v>
      </c>
      <c r="F351" s="9" t="s">
        <v>1053</v>
      </c>
      <c r="G351" s="8" t="s">
        <v>1053</v>
      </c>
      <c r="H351" s="13" t="s">
        <v>87</v>
      </c>
      <c r="I351" s="14"/>
      <c r="J351" s="10"/>
      <c r="K351" s="10"/>
      <c r="L351" s="10"/>
      <c r="M351" s="11" t="str">
        <f aca="false">IF(COUNTA(J351:L351)&lt;3,"",IF(COUNTIF(J351:L351,"유지")=3,"채택","제외"))</f>
        <v/>
      </c>
      <c r="N351" s="12"/>
    </row>
    <row r="352" customFormat="false" ht="15" hidden="false" customHeight="false" outlineLevel="0" collapsed="false">
      <c r="A352" s="7" t="n">
        <v>351</v>
      </c>
      <c r="B352" s="7" t="s">
        <v>1025</v>
      </c>
      <c r="C352" s="7" t="s">
        <v>1026</v>
      </c>
      <c r="D352" s="7" t="s">
        <v>1055</v>
      </c>
      <c r="E352" s="8" t="s">
        <v>1056</v>
      </c>
      <c r="F352" s="9" t="s">
        <v>1057</v>
      </c>
      <c r="G352" s="8" t="s">
        <v>1057</v>
      </c>
      <c r="H352" s="13" t="s">
        <v>87</v>
      </c>
      <c r="I352" s="14"/>
      <c r="J352" s="10"/>
      <c r="K352" s="10"/>
      <c r="L352" s="10"/>
      <c r="M352" s="11" t="str">
        <f aca="false">IF(COUNTA(J352:L352)&lt;3,"",IF(COUNTIF(J352:L352,"유지")=3,"채택","제외"))</f>
        <v/>
      </c>
      <c r="N352" s="12"/>
    </row>
    <row r="353" customFormat="false" ht="15" hidden="false" customHeight="false" outlineLevel="0" collapsed="false">
      <c r="A353" s="7" t="n">
        <v>352</v>
      </c>
      <c r="B353" s="7" t="s">
        <v>1025</v>
      </c>
      <c r="C353" s="7" t="s">
        <v>1026</v>
      </c>
      <c r="D353" s="7" t="s">
        <v>1058</v>
      </c>
      <c r="E353" s="8" t="s">
        <v>1059</v>
      </c>
      <c r="F353" s="9" t="s">
        <v>1060</v>
      </c>
      <c r="G353" s="8" t="s">
        <v>1060</v>
      </c>
      <c r="H353" s="15"/>
      <c r="I353" s="15"/>
      <c r="J353" s="10"/>
      <c r="K353" s="10"/>
      <c r="L353" s="10"/>
      <c r="M353" s="11" t="str">
        <f aca="false">IF(COUNTA(J353:L353)&lt;3,"",IF(COUNTIF(J353:L353,"유지")=3,"채택","제외"))</f>
        <v/>
      </c>
      <c r="N353" s="12"/>
    </row>
    <row r="354" customFormat="false" ht="15" hidden="false" customHeight="false" outlineLevel="0" collapsed="false">
      <c r="A354" s="7" t="n">
        <v>353</v>
      </c>
      <c r="B354" s="7" t="s">
        <v>1025</v>
      </c>
      <c r="C354" s="7" t="s">
        <v>1026</v>
      </c>
      <c r="D354" s="7" t="s">
        <v>1061</v>
      </c>
      <c r="E354" s="8" t="s">
        <v>1062</v>
      </c>
      <c r="F354" s="9" t="s">
        <v>1063</v>
      </c>
      <c r="G354" s="8" t="s">
        <v>1063</v>
      </c>
      <c r="H354" s="13" t="s">
        <v>87</v>
      </c>
      <c r="I354" s="14"/>
      <c r="J354" s="10"/>
      <c r="K354" s="10"/>
      <c r="L354" s="10"/>
      <c r="M354" s="11" t="str">
        <f aca="false">IF(COUNTA(J354:L354)&lt;3,"",IF(COUNTIF(J354:L354,"유지")=3,"채택","제외"))</f>
        <v/>
      </c>
      <c r="N354" s="12"/>
    </row>
    <row r="355" customFormat="false" ht="15" hidden="false" customHeight="false" outlineLevel="0" collapsed="false">
      <c r="A355" s="7" t="n">
        <v>354</v>
      </c>
      <c r="B355" s="7" t="s">
        <v>1025</v>
      </c>
      <c r="C355" s="7" t="s">
        <v>1026</v>
      </c>
      <c r="D355" s="7" t="s">
        <v>1064</v>
      </c>
      <c r="E355" s="8" t="s">
        <v>1065</v>
      </c>
      <c r="F355" s="9" t="s">
        <v>1066</v>
      </c>
      <c r="G355" s="8" t="s">
        <v>1066</v>
      </c>
      <c r="H355" s="15"/>
      <c r="I355" s="15"/>
      <c r="J355" s="10"/>
      <c r="K355" s="10"/>
      <c r="L355" s="10"/>
      <c r="M355" s="11" t="str">
        <f aca="false">IF(COUNTA(J355:L355)&lt;3,"",IF(COUNTIF(J355:L355,"유지")=3,"채택","제외"))</f>
        <v/>
      </c>
      <c r="N355" s="12"/>
    </row>
    <row r="356" customFormat="false" ht="15" hidden="false" customHeight="false" outlineLevel="0" collapsed="false">
      <c r="A356" s="7" t="n">
        <v>355</v>
      </c>
      <c r="B356" s="7" t="s">
        <v>1025</v>
      </c>
      <c r="C356" s="7" t="s">
        <v>1026</v>
      </c>
      <c r="D356" s="7" t="s">
        <v>1067</v>
      </c>
      <c r="E356" s="8" t="s">
        <v>1068</v>
      </c>
      <c r="F356" s="9" t="s">
        <v>1069</v>
      </c>
      <c r="G356" s="8" t="s">
        <v>1070</v>
      </c>
      <c r="H356" s="13" t="s">
        <v>87</v>
      </c>
      <c r="I356" s="14"/>
      <c r="J356" s="10"/>
      <c r="K356" s="10"/>
      <c r="L356" s="10"/>
      <c r="M356" s="11" t="str">
        <f aca="false">IF(COUNTA(J356:L356)&lt;3,"",IF(COUNTIF(J356:L356,"유지")=3,"채택","제외"))</f>
        <v/>
      </c>
      <c r="N356" s="12"/>
    </row>
    <row r="357" customFormat="false" ht="15" hidden="false" customHeight="false" outlineLevel="0" collapsed="false">
      <c r="A357" s="7" t="n">
        <v>356</v>
      </c>
      <c r="B357" s="7" t="s">
        <v>1025</v>
      </c>
      <c r="C357" s="7" t="s">
        <v>1026</v>
      </c>
      <c r="D357" s="7" t="s">
        <v>1071</v>
      </c>
      <c r="E357" s="8" t="s">
        <v>1072</v>
      </c>
      <c r="F357" s="9" t="s">
        <v>1073</v>
      </c>
      <c r="G357" s="8" t="s">
        <v>1073</v>
      </c>
      <c r="H357" s="13" t="s">
        <v>87</v>
      </c>
      <c r="I357" s="14"/>
      <c r="J357" s="10"/>
      <c r="K357" s="10"/>
      <c r="L357" s="10"/>
      <c r="M357" s="11" t="str">
        <f aca="false">IF(COUNTA(J357:L357)&lt;3,"",IF(COUNTIF(J357:L357,"유지")=3,"채택","제외"))</f>
        <v/>
      </c>
      <c r="N357" s="12"/>
    </row>
    <row r="358" customFormat="false" ht="15" hidden="false" customHeight="false" outlineLevel="0" collapsed="false">
      <c r="A358" s="7" t="n">
        <v>357</v>
      </c>
      <c r="B358" s="7" t="s">
        <v>1025</v>
      </c>
      <c r="C358" s="7" t="s">
        <v>1026</v>
      </c>
      <c r="D358" s="7" t="s">
        <v>1074</v>
      </c>
      <c r="E358" s="8" t="s">
        <v>1075</v>
      </c>
      <c r="F358" s="9" t="s">
        <v>1076</v>
      </c>
      <c r="G358" s="8" t="s">
        <v>1076</v>
      </c>
      <c r="H358" s="13" t="s">
        <v>87</v>
      </c>
      <c r="I358" s="14"/>
      <c r="J358" s="10"/>
      <c r="K358" s="10"/>
      <c r="L358" s="10"/>
      <c r="M358" s="11" t="str">
        <f aca="false">IF(COUNTA(J358:L358)&lt;3,"",IF(COUNTIF(J358:L358,"유지")=3,"채택","제외"))</f>
        <v/>
      </c>
      <c r="N358" s="12"/>
    </row>
    <row r="359" customFormat="false" ht="15" hidden="false" customHeight="false" outlineLevel="0" collapsed="false">
      <c r="A359" s="7" t="n">
        <v>358</v>
      </c>
      <c r="B359" s="7" t="s">
        <v>1025</v>
      </c>
      <c r="C359" s="7" t="s">
        <v>1026</v>
      </c>
      <c r="D359" s="7" t="s">
        <v>1077</v>
      </c>
      <c r="E359" s="8" t="s">
        <v>1078</v>
      </c>
      <c r="F359" s="9" t="s">
        <v>1079</v>
      </c>
      <c r="G359" s="8" t="s">
        <v>1080</v>
      </c>
      <c r="H359" s="14"/>
      <c r="I359" s="14" t="s">
        <v>1081</v>
      </c>
      <c r="J359" s="10"/>
      <c r="K359" s="10"/>
      <c r="L359" s="10"/>
      <c r="M359" s="11" t="str">
        <f aca="false">IF(COUNTA(J359:L359)&lt;3,"",IF(COUNTIF(J359:L359,"유지")=3,"채택","제외"))</f>
        <v/>
      </c>
      <c r="N359" s="12"/>
    </row>
    <row r="360" customFormat="false" ht="15" hidden="false" customHeight="false" outlineLevel="0" collapsed="false">
      <c r="A360" s="7" t="n">
        <v>359</v>
      </c>
      <c r="B360" s="7" t="s">
        <v>1025</v>
      </c>
      <c r="C360" s="7" t="s">
        <v>1026</v>
      </c>
      <c r="D360" s="7" t="s">
        <v>1082</v>
      </c>
      <c r="E360" s="8" t="s">
        <v>1083</v>
      </c>
      <c r="F360" s="9" t="s">
        <v>1084</v>
      </c>
      <c r="G360" s="8" t="s">
        <v>1084</v>
      </c>
      <c r="H360" s="13" t="s">
        <v>74</v>
      </c>
      <c r="I360" s="14"/>
      <c r="J360" s="10"/>
      <c r="K360" s="10"/>
      <c r="L360" s="10"/>
      <c r="M360" s="11" t="str">
        <f aca="false">IF(COUNTA(J360:L360)&lt;3,"",IF(COUNTIF(J360:L360,"유지")=3,"채택","제외"))</f>
        <v/>
      </c>
      <c r="N360" s="12"/>
    </row>
    <row r="361" customFormat="false" ht="15" hidden="false" customHeight="false" outlineLevel="0" collapsed="false">
      <c r="A361" s="7" t="n">
        <v>360</v>
      </c>
      <c r="B361" s="7" t="s">
        <v>1025</v>
      </c>
      <c r="C361" s="7" t="s">
        <v>1026</v>
      </c>
      <c r="D361" s="7" t="s">
        <v>1085</v>
      </c>
      <c r="E361" s="8" t="s">
        <v>1086</v>
      </c>
      <c r="F361" s="9" t="s">
        <v>1087</v>
      </c>
      <c r="G361" s="8" t="s">
        <v>1087</v>
      </c>
      <c r="H361" s="15"/>
      <c r="I361" s="15"/>
      <c r="J361" s="10"/>
      <c r="K361" s="10"/>
      <c r="L361" s="10"/>
      <c r="M361" s="11" t="str">
        <f aca="false">IF(COUNTA(J361:L361)&lt;3,"",IF(COUNTIF(J361:L361,"유지")=3,"채택","제외"))</f>
        <v/>
      </c>
      <c r="N361" s="12"/>
    </row>
    <row r="362" customFormat="false" ht="15" hidden="false" customHeight="false" outlineLevel="0" collapsed="false">
      <c r="A362" s="7" t="n">
        <v>361</v>
      </c>
      <c r="B362" s="7" t="s">
        <v>1025</v>
      </c>
      <c r="C362" s="7" t="s">
        <v>1026</v>
      </c>
      <c r="D362" s="7" t="s">
        <v>1088</v>
      </c>
      <c r="E362" s="8" t="s">
        <v>1089</v>
      </c>
      <c r="F362" s="9" t="s">
        <v>1090</v>
      </c>
      <c r="G362" s="8" t="s">
        <v>1090</v>
      </c>
      <c r="H362" s="15"/>
      <c r="I362" s="15"/>
      <c r="J362" s="10"/>
      <c r="K362" s="10"/>
      <c r="L362" s="10"/>
      <c r="M362" s="11" t="str">
        <f aca="false">IF(COUNTA(J362:L362)&lt;3,"",IF(COUNTIF(J362:L362,"유지")=3,"채택","제외"))</f>
        <v/>
      </c>
      <c r="N362" s="12"/>
    </row>
    <row r="363" customFormat="false" ht="15" hidden="false" customHeight="false" outlineLevel="0" collapsed="false">
      <c r="A363" s="7" t="n">
        <v>362</v>
      </c>
      <c r="B363" s="7" t="s">
        <v>1025</v>
      </c>
      <c r="C363" s="7" t="s">
        <v>1026</v>
      </c>
      <c r="D363" s="7" t="s">
        <v>1091</v>
      </c>
      <c r="E363" s="8" t="s">
        <v>1092</v>
      </c>
      <c r="F363" s="9" t="s">
        <v>1093</v>
      </c>
      <c r="G363" s="8" t="s">
        <v>1093</v>
      </c>
      <c r="H363" s="15"/>
      <c r="I363" s="15"/>
      <c r="J363" s="10"/>
      <c r="K363" s="10"/>
      <c r="L363" s="10"/>
      <c r="M363" s="11" t="str">
        <f aca="false">IF(COUNTA(J363:L363)&lt;3,"",IF(COUNTIF(J363:L363,"유지")=3,"채택","제외"))</f>
        <v/>
      </c>
      <c r="N363" s="12"/>
    </row>
    <row r="364" customFormat="false" ht="15" hidden="false" customHeight="false" outlineLevel="0" collapsed="false">
      <c r="A364" s="7" t="n">
        <v>363</v>
      </c>
      <c r="B364" s="7" t="s">
        <v>1025</v>
      </c>
      <c r="C364" s="7" t="s">
        <v>1026</v>
      </c>
      <c r="D364" s="7" t="s">
        <v>1094</v>
      </c>
      <c r="E364" s="8" t="s">
        <v>1095</v>
      </c>
      <c r="F364" s="9" t="s">
        <v>1096</v>
      </c>
      <c r="G364" s="8" t="s">
        <v>1097</v>
      </c>
      <c r="H364" s="15"/>
      <c r="I364" s="15"/>
      <c r="J364" s="10"/>
      <c r="K364" s="10"/>
      <c r="L364" s="10"/>
      <c r="M364" s="11" t="str">
        <f aca="false">IF(COUNTA(J364:L364)&lt;3,"",IF(COUNTIF(J364:L364,"유지")=3,"채택","제외"))</f>
        <v/>
      </c>
      <c r="N364" s="12"/>
    </row>
    <row r="365" customFormat="false" ht="15" hidden="false" customHeight="false" outlineLevel="0" collapsed="false">
      <c r="A365" s="7" t="n">
        <v>364</v>
      </c>
      <c r="B365" s="7" t="s">
        <v>1025</v>
      </c>
      <c r="C365" s="7" t="s">
        <v>1026</v>
      </c>
      <c r="D365" s="7" t="s">
        <v>1098</v>
      </c>
      <c r="E365" s="8" t="s">
        <v>1099</v>
      </c>
      <c r="F365" s="9" t="s">
        <v>1100</v>
      </c>
      <c r="G365" s="8" t="s">
        <v>1101</v>
      </c>
      <c r="H365" s="13" t="s">
        <v>74</v>
      </c>
      <c r="I365" s="14"/>
      <c r="J365" s="10"/>
      <c r="K365" s="10"/>
      <c r="L365" s="10"/>
      <c r="M365" s="11" t="str">
        <f aca="false">IF(COUNTA(J365:L365)&lt;3,"",IF(COUNTIF(J365:L365,"유지")=3,"채택","제외"))</f>
        <v/>
      </c>
      <c r="N365" s="12"/>
    </row>
    <row r="366" customFormat="false" ht="15" hidden="false" customHeight="false" outlineLevel="0" collapsed="false">
      <c r="A366" s="7" t="n">
        <v>365</v>
      </c>
      <c r="B366" s="7" t="s">
        <v>1025</v>
      </c>
      <c r="C366" s="7" t="s">
        <v>1026</v>
      </c>
      <c r="D366" s="7" t="s">
        <v>1102</v>
      </c>
      <c r="E366" s="8" t="s">
        <v>1103</v>
      </c>
      <c r="F366" s="9" t="s">
        <v>1104</v>
      </c>
      <c r="G366" s="8" t="s">
        <v>1105</v>
      </c>
      <c r="H366" s="15"/>
      <c r="I366" s="15"/>
      <c r="J366" s="10"/>
      <c r="K366" s="10"/>
      <c r="L366" s="10"/>
      <c r="M366" s="11" t="str">
        <f aca="false">IF(COUNTA(J366:L366)&lt;3,"",IF(COUNTIF(J366:L366,"유지")=3,"채택","제외"))</f>
        <v/>
      </c>
      <c r="N366" s="12"/>
    </row>
    <row r="367" customFormat="false" ht="29.85" hidden="false" customHeight="false" outlineLevel="0" collapsed="false">
      <c r="A367" s="7" t="n">
        <v>366</v>
      </c>
      <c r="B367" s="7" t="s">
        <v>1025</v>
      </c>
      <c r="C367" s="7" t="s">
        <v>1026</v>
      </c>
      <c r="D367" s="7" t="s">
        <v>1106</v>
      </c>
      <c r="E367" s="8" t="s">
        <v>1107</v>
      </c>
      <c r="F367" s="9" t="s">
        <v>1108</v>
      </c>
      <c r="G367" s="8" t="s">
        <v>1109</v>
      </c>
      <c r="H367" s="14"/>
      <c r="I367" s="14" t="s">
        <v>1110</v>
      </c>
      <c r="J367" s="10"/>
      <c r="K367" s="10"/>
      <c r="L367" s="10"/>
      <c r="M367" s="11" t="str">
        <f aca="false">IF(COUNTA(J367:L367)&lt;3,"",IF(COUNTIF(J367:L367,"유지")=3,"채택","제외"))</f>
        <v/>
      </c>
      <c r="N367" s="12"/>
    </row>
    <row r="368" customFormat="false" ht="15" hidden="false" customHeight="false" outlineLevel="0" collapsed="false">
      <c r="A368" s="7" t="n">
        <v>367</v>
      </c>
      <c r="B368" s="7" t="s">
        <v>1025</v>
      </c>
      <c r="C368" s="7" t="s">
        <v>1026</v>
      </c>
      <c r="D368" s="7" t="s">
        <v>1111</v>
      </c>
      <c r="E368" s="8" t="s">
        <v>1036</v>
      </c>
      <c r="F368" s="9" t="s">
        <v>1037</v>
      </c>
      <c r="G368" s="8" t="s">
        <v>1037</v>
      </c>
      <c r="H368" s="13" t="s">
        <v>87</v>
      </c>
      <c r="I368" s="14"/>
      <c r="J368" s="10"/>
      <c r="K368" s="10"/>
      <c r="L368" s="10"/>
      <c r="M368" s="11" t="str">
        <f aca="false">IF(COUNTA(J368:L368)&lt;3,"",IF(COUNTIF(J368:L368,"유지")=3,"채택","제외"))</f>
        <v/>
      </c>
      <c r="N368" s="12"/>
    </row>
    <row r="369" customFormat="false" ht="15" hidden="false" customHeight="false" outlineLevel="0" collapsed="false">
      <c r="A369" s="7" t="n">
        <v>368</v>
      </c>
      <c r="B369" s="7" t="s">
        <v>1025</v>
      </c>
      <c r="C369" s="7" t="s">
        <v>1026</v>
      </c>
      <c r="D369" s="7" t="s">
        <v>1112</v>
      </c>
      <c r="E369" s="8" t="s">
        <v>1113</v>
      </c>
      <c r="F369" s="9" t="s">
        <v>1114</v>
      </c>
      <c r="G369" s="8" t="s">
        <v>1114</v>
      </c>
      <c r="H369" s="15"/>
      <c r="I369" s="15"/>
      <c r="J369" s="10"/>
      <c r="K369" s="10"/>
      <c r="L369" s="10"/>
      <c r="M369" s="11" t="str">
        <f aca="false">IF(COUNTA(J369:L369)&lt;3,"",IF(COUNTIF(J369:L369,"유지")=3,"채택","제외"))</f>
        <v/>
      </c>
      <c r="N369" s="12"/>
    </row>
    <row r="370" customFormat="false" ht="15" hidden="false" customHeight="false" outlineLevel="0" collapsed="false">
      <c r="A370" s="7" t="n">
        <v>369</v>
      </c>
      <c r="B370" s="7" t="s">
        <v>1025</v>
      </c>
      <c r="C370" s="7" t="s">
        <v>1026</v>
      </c>
      <c r="D370" s="7" t="s">
        <v>1112</v>
      </c>
      <c r="E370" s="8" t="s">
        <v>1115</v>
      </c>
      <c r="F370" s="9" t="s">
        <v>1116</v>
      </c>
      <c r="G370" s="8" t="s">
        <v>1116</v>
      </c>
      <c r="H370" s="15"/>
      <c r="I370" s="15"/>
      <c r="J370" s="10"/>
      <c r="K370" s="10"/>
      <c r="L370" s="10"/>
      <c r="M370" s="11" t="str">
        <f aca="false">IF(COUNTA(J370:L370)&lt;3,"",IF(COUNTIF(J370:L370,"유지")=3,"채택","제외"))</f>
        <v/>
      </c>
      <c r="N370" s="12"/>
    </row>
    <row r="371" customFormat="false" ht="15" hidden="false" customHeight="false" outlineLevel="0" collapsed="false">
      <c r="A371" s="7" t="n">
        <v>370</v>
      </c>
      <c r="B371" s="7" t="s">
        <v>1025</v>
      </c>
      <c r="C371" s="7" t="s">
        <v>1026</v>
      </c>
      <c r="D371" s="7" t="s">
        <v>1117</v>
      </c>
      <c r="E371" s="8" t="s">
        <v>1118</v>
      </c>
      <c r="F371" s="9" t="s">
        <v>1119</v>
      </c>
      <c r="G371" s="8" t="s">
        <v>1119</v>
      </c>
      <c r="H371" s="13" t="s">
        <v>87</v>
      </c>
      <c r="I371" s="14"/>
      <c r="J371" s="10"/>
      <c r="K371" s="10"/>
      <c r="L371" s="10"/>
      <c r="M371" s="11" t="str">
        <f aca="false">IF(COUNTA(J371:L371)&lt;3,"",IF(COUNTIF(J371:L371,"유지")=3,"채택","제외"))</f>
        <v/>
      </c>
      <c r="N371" s="12"/>
    </row>
    <row r="372" customFormat="false" ht="15" hidden="false" customHeight="false" outlineLevel="0" collapsed="false">
      <c r="A372" s="7" t="n">
        <v>371</v>
      </c>
      <c r="B372" s="7" t="s">
        <v>1025</v>
      </c>
      <c r="C372" s="7" t="s">
        <v>1026</v>
      </c>
      <c r="D372" s="7" t="s">
        <v>1120</v>
      </c>
      <c r="E372" s="8" t="s">
        <v>1121</v>
      </c>
      <c r="F372" s="9" t="s">
        <v>1122</v>
      </c>
      <c r="G372" s="8" t="s">
        <v>1122</v>
      </c>
      <c r="H372" s="15"/>
      <c r="I372" s="15"/>
      <c r="J372" s="10"/>
      <c r="K372" s="10"/>
      <c r="L372" s="10"/>
      <c r="M372" s="11" t="str">
        <f aca="false">IF(COUNTA(J372:L372)&lt;3,"",IF(COUNTIF(J372:L372,"유지")=3,"채택","제외"))</f>
        <v/>
      </c>
      <c r="N372" s="12"/>
    </row>
    <row r="373" customFormat="false" ht="15" hidden="false" customHeight="false" outlineLevel="0" collapsed="false">
      <c r="A373" s="7" t="n">
        <v>372</v>
      </c>
      <c r="B373" s="7" t="s">
        <v>1025</v>
      </c>
      <c r="C373" s="7" t="s">
        <v>1026</v>
      </c>
      <c r="D373" s="7" t="s">
        <v>1123</v>
      </c>
      <c r="E373" s="8" t="s">
        <v>1124</v>
      </c>
      <c r="F373" s="9" t="s">
        <v>1125</v>
      </c>
      <c r="G373" s="8" t="s">
        <v>1125</v>
      </c>
      <c r="H373" s="15"/>
      <c r="I373" s="15"/>
      <c r="J373" s="10"/>
      <c r="K373" s="10"/>
      <c r="L373" s="10"/>
      <c r="M373" s="11" t="str">
        <f aca="false">IF(COUNTA(J373:L373)&lt;3,"",IF(COUNTIF(J373:L373,"유지")=3,"채택","제외"))</f>
        <v/>
      </c>
      <c r="N373" s="12"/>
    </row>
    <row r="374" customFormat="false" ht="15" hidden="false" customHeight="false" outlineLevel="0" collapsed="false">
      <c r="A374" s="7" t="n">
        <v>373</v>
      </c>
      <c r="B374" s="7" t="s">
        <v>1025</v>
      </c>
      <c r="C374" s="7" t="s">
        <v>1026</v>
      </c>
      <c r="D374" s="7" t="s">
        <v>1123</v>
      </c>
      <c r="E374" s="8" t="s">
        <v>1126</v>
      </c>
      <c r="F374" s="9" t="s">
        <v>1127</v>
      </c>
      <c r="G374" s="8" t="s">
        <v>1127</v>
      </c>
      <c r="H374" s="15"/>
      <c r="I374" s="15"/>
      <c r="J374" s="10"/>
      <c r="K374" s="10"/>
      <c r="L374" s="10"/>
      <c r="M374" s="11" t="str">
        <f aca="false">IF(COUNTA(J374:L374)&lt;3,"",IF(COUNTIF(J374:L374,"유지")=3,"채택","제외"))</f>
        <v/>
      </c>
      <c r="N374" s="12"/>
    </row>
    <row r="375" customFormat="false" ht="15" hidden="false" customHeight="false" outlineLevel="0" collapsed="false">
      <c r="A375" s="7" t="n">
        <v>374</v>
      </c>
      <c r="B375" s="7" t="s">
        <v>1025</v>
      </c>
      <c r="C375" s="7" t="s">
        <v>1026</v>
      </c>
      <c r="D375" s="7" t="s">
        <v>1128</v>
      </c>
      <c r="E375" s="8" t="s">
        <v>1129</v>
      </c>
      <c r="F375" s="9" t="s">
        <v>1130</v>
      </c>
      <c r="G375" s="8" t="s">
        <v>1130</v>
      </c>
      <c r="H375" s="15"/>
      <c r="I375" s="15"/>
      <c r="J375" s="10"/>
      <c r="K375" s="10"/>
      <c r="L375" s="10"/>
      <c r="M375" s="11" t="str">
        <f aca="false">IF(COUNTA(J375:L375)&lt;3,"",IF(COUNTIF(J375:L375,"유지")=3,"채택","제외"))</f>
        <v/>
      </c>
      <c r="N375" s="12"/>
    </row>
    <row r="376" customFormat="false" ht="15" hidden="false" customHeight="false" outlineLevel="0" collapsed="false">
      <c r="A376" s="7" t="n">
        <v>375</v>
      </c>
      <c r="B376" s="7" t="s">
        <v>1025</v>
      </c>
      <c r="C376" s="7" t="s">
        <v>1026</v>
      </c>
      <c r="D376" s="7" t="s">
        <v>1131</v>
      </c>
      <c r="E376" s="8" t="s">
        <v>1132</v>
      </c>
      <c r="F376" s="9" t="s">
        <v>1133</v>
      </c>
      <c r="G376" s="8" t="s">
        <v>1133</v>
      </c>
      <c r="H376" s="13" t="s">
        <v>87</v>
      </c>
      <c r="I376" s="14"/>
      <c r="J376" s="10"/>
      <c r="K376" s="10"/>
      <c r="L376" s="10"/>
      <c r="M376" s="11" t="str">
        <f aca="false">IF(COUNTA(J376:L376)&lt;3,"",IF(COUNTIF(J376:L376,"유지")=3,"채택","제외"))</f>
        <v/>
      </c>
      <c r="N376" s="12"/>
    </row>
    <row r="377" customFormat="false" ht="29.85" hidden="false" customHeight="false" outlineLevel="0" collapsed="false">
      <c r="A377" s="7" t="n">
        <v>376</v>
      </c>
      <c r="B377" s="7" t="s">
        <v>1025</v>
      </c>
      <c r="C377" s="7" t="s">
        <v>1026</v>
      </c>
      <c r="D377" s="7" t="s">
        <v>1134</v>
      </c>
      <c r="E377" s="8" t="s">
        <v>1135</v>
      </c>
      <c r="F377" s="9" t="s">
        <v>1136</v>
      </c>
      <c r="G377" s="8" t="s">
        <v>1136</v>
      </c>
      <c r="H377" s="14"/>
      <c r="I377" s="14" t="s">
        <v>1137</v>
      </c>
      <c r="J377" s="10"/>
      <c r="K377" s="10"/>
      <c r="L377" s="10"/>
      <c r="M377" s="11" t="str">
        <f aca="false">IF(COUNTA(J377:L377)&lt;3,"",IF(COUNTIF(J377:L377,"유지")=3,"채택","제외"))</f>
        <v/>
      </c>
      <c r="N377" s="12"/>
    </row>
    <row r="378" customFormat="false" ht="15" hidden="false" customHeight="false" outlineLevel="0" collapsed="false">
      <c r="A378" s="7" t="n">
        <v>377</v>
      </c>
      <c r="B378" s="7" t="s">
        <v>1025</v>
      </c>
      <c r="C378" s="7" t="s">
        <v>1026</v>
      </c>
      <c r="D378" s="7" t="s">
        <v>1138</v>
      </c>
      <c r="E378" s="8" t="s">
        <v>1139</v>
      </c>
      <c r="F378" s="9" t="s">
        <v>1140</v>
      </c>
      <c r="G378" s="8" t="s">
        <v>1140</v>
      </c>
      <c r="H378" s="15"/>
      <c r="I378" s="15"/>
      <c r="J378" s="10"/>
      <c r="K378" s="10"/>
      <c r="L378" s="10"/>
      <c r="M378" s="11" t="str">
        <f aca="false">IF(COUNTA(J378:L378)&lt;3,"",IF(COUNTIF(J378:L378,"유지")=3,"채택","제외"))</f>
        <v/>
      </c>
      <c r="N378" s="12"/>
    </row>
    <row r="379" customFormat="false" ht="15" hidden="false" customHeight="false" outlineLevel="0" collapsed="false">
      <c r="A379" s="7" t="n">
        <v>378</v>
      </c>
      <c r="B379" s="7" t="s">
        <v>1025</v>
      </c>
      <c r="C379" s="7" t="s">
        <v>1026</v>
      </c>
      <c r="D379" s="7" t="s">
        <v>1141</v>
      </c>
      <c r="E379" s="8" t="s">
        <v>1142</v>
      </c>
      <c r="F379" s="9" t="s">
        <v>1143</v>
      </c>
      <c r="G379" s="8" t="s">
        <v>1143</v>
      </c>
      <c r="H379" s="15"/>
      <c r="I379" s="15"/>
      <c r="J379" s="10"/>
      <c r="K379" s="10"/>
      <c r="L379" s="10"/>
      <c r="M379" s="11" t="str">
        <f aca="false">IF(COUNTA(J379:L379)&lt;3,"",IF(COUNTIF(J379:L379,"유지")=3,"채택","제외"))</f>
        <v/>
      </c>
      <c r="N379" s="12"/>
    </row>
    <row r="380" customFormat="false" ht="15" hidden="false" customHeight="false" outlineLevel="0" collapsed="false">
      <c r="A380" s="7" t="n">
        <v>379</v>
      </c>
      <c r="B380" s="7" t="s">
        <v>1025</v>
      </c>
      <c r="C380" s="7" t="s">
        <v>1026</v>
      </c>
      <c r="D380" s="7" t="s">
        <v>1144</v>
      </c>
      <c r="E380" s="8" t="s">
        <v>1145</v>
      </c>
      <c r="F380" s="9" t="s">
        <v>1146</v>
      </c>
      <c r="G380" s="8" t="s">
        <v>1147</v>
      </c>
      <c r="H380" s="15"/>
      <c r="I380" s="15"/>
      <c r="J380" s="10"/>
      <c r="K380" s="10"/>
      <c r="L380" s="10"/>
      <c r="M380" s="11" t="str">
        <f aca="false">IF(COUNTA(J380:L380)&lt;3,"",IF(COUNTIF(J380:L380,"유지")=3,"채택","제외"))</f>
        <v/>
      </c>
      <c r="N380" s="12"/>
    </row>
    <row r="381" customFormat="false" ht="15" hidden="false" customHeight="false" outlineLevel="0" collapsed="false">
      <c r="A381" s="7" t="n">
        <v>380</v>
      </c>
      <c r="B381" s="7" t="s">
        <v>1025</v>
      </c>
      <c r="C381" s="7" t="s">
        <v>1026</v>
      </c>
      <c r="D381" s="7" t="s">
        <v>1148</v>
      </c>
      <c r="E381" s="8" t="s">
        <v>1149</v>
      </c>
      <c r="F381" s="9" t="s">
        <v>1150</v>
      </c>
      <c r="G381" s="8" t="s">
        <v>1151</v>
      </c>
      <c r="H381" s="15"/>
      <c r="I381" s="15"/>
      <c r="J381" s="10"/>
      <c r="K381" s="10"/>
      <c r="L381" s="10"/>
      <c r="M381" s="11" t="str">
        <f aca="false">IF(COUNTA(J381:L381)&lt;3,"",IF(COUNTIF(J381:L381,"유지")=3,"채택","제외"))</f>
        <v/>
      </c>
      <c r="N381" s="12"/>
    </row>
    <row r="382" customFormat="false" ht="15" hidden="false" customHeight="false" outlineLevel="0" collapsed="false">
      <c r="A382" s="7" t="n">
        <v>381</v>
      </c>
      <c r="B382" s="7" t="s">
        <v>1025</v>
      </c>
      <c r="C382" s="7" t="s">
        <v>1026</v>
      </c>
      <c r="D382" s="7" t="s">
        <v>1152</v>
      </c>
      <c r="E382" s="8" t="s">
        <v>1153</v>
      </c>
      <c r="F382" s="9" t="s">
        <v>1154</v>
      </c>
      <c r="G382" s="8" t="s">
        <v>1154</v>
      </c>
      <c r="H382" s="15"/>
      <c r="I382" s="15"/>
      <c r="J382" s="10"/>
      <c r="K382" s="10"/>
      <c r="L382" s="10"/>
      <c r="M382" s="11" t="str">
        <f aca="false">IF(COUNTA(J382:L382)&lt;3,"",IF(COUNTIF(J382:L382,"유지")=3,"채택","제외"))</f>
        <v/>
      </c>
      <c r="N382" s="12"/>
    </row>
    <row r="383" customFormat="false" ht="15" hidden="false" customHeight="false" outlineLevel="0" collapsed="false">
      <c r="A383" s="7" t="n">
        <v>382</v>
      </c>
      <c r="B383" s="7" t="s">
        <v>1025</v>
      </c>
      <c r="C383" s="7" t="s">
        <v>1026</v>
      </c>
      <c r="D383" s="7" t="s">
        <v>1155</v>
      </c>
      <c r="E383" s="8" t="s">
        <v>1156</v>
      </c>
      <c r="F383" s="9" t="s">
        <v>1157</v>
      </c>
      <c r="G383" s="8" t="s">
        <v>1157</v>
      </c>
      <c r="H383" s="15"/>
      <c r="I383" s="15"/>
      <c r="J383" s="10"/>
      <c r="K383" s="10"/>
      <c r="L383" s="10"/>
      <c r="M383" s="11" t="str">
        <f aca="false">IF(COUNTA(J383:L383)&lt;3,"",IF(COUNTIF(J383:L383,"유지")=3,"채택","제외"))</f>
        <v/>
      </c>
      <c r="N383" s="12"/>
    </row>
    <row r="384" customFormat="false" ht="15" hidden="false" customHeight="false" outlineLevel="0" collapsed="false">
      <c r="A384" s="7" t="n">
        <v>383</v>
      </c>
      <c r="B384" s="7" t="s">
        <v>1025</v>
      </c>
      <c r="C384" s="7" t="s">
        <v>1026</v>
      </c>
      <c r="D384" s="7" t="s">
        <v>1158</v>
      </c>
      <c r="E384" s="8" t="s">
        <v>1075</v>
      </c>
      <c r="F384" s="9" t="s">
        <v>1076</v>
      </c>
      <c r="G384" s="8" t="s">
        <v>1076</v>
      </c>
      <c r="H384" s="13" t="s">
        <v>87</v>
      </c>
      <c r="I384" s="14"/>
      <c r="J384" s="10"/>
      <c r="K384" s="10"/>
      <c r="L384" s="10"/>
      <c r="M384" s="11" t="str">
        <f aca="false">IF(COUNTA(J384:L384)&lt;3,"",IF(COUNTIF(J384:L384,"유지")=3,"채택","제외"))</f>
        <v/>
      </c>
      <c r="N384" s="12"/>
    </row>
    <row r="385" customFormat="false" ht="15" hidden="false" customHeight="false" outlineLevel="0" collapsed="false">
      <c r="A385" s="7" t="n">
        <v>384</v>
      </c>
      <c r="B385" s="7" t="s">
        <v>1025</v>
      </c>
      <c r="C385" s="7" t="s">
        <v>1026</v>
      </c>
      <c r="D385" s="7" t="s">
        <v>1159</v>
      </c>
      <c r="E385" s="8" t="s">
        <v>1160</v>
      </c>
      <c r="F385" s="9" t="s">
        <v>1161</v>
      </c>
      <c r="G385" s="8" t="s">
        <v>1161</v>
      </c>
      <c r="H385" s="15"/>
      <c r="I385" s="15"/>
      <c r="J385" s="10"/>
      <c r="K385" s="10"/>
      <c r="L385" s="10"/>
      <c r="M385" s="11" t="str">
        <f aca="false">IF(COUNTA(J385:L385)&lt;3,"",IF(COUNTIF(J385:L385,"유지")=3,"채택","제외"))</f>
        <v/>
      </c>
      <c r="N385" s="12"/>
    </row>
    <row r="386" customFormat="false" ht="15" hidden="false" customHeight="false" outlineLevel="0" collapsed="false">
      <c r="A386" s="7" t="n">
        <v>385</v>
      </c>
      <c r="B386" s="7" t="s">
        <v>1025</v>
      </c>
      <c r="C386" s="7" t="s">
        <v>1026</v>
      </c>
      <c r="D386" s="7" t="s">
        <v>1162</v>
      </c>
      <c r="E386" s="8" t="s">
        <v>1163</v>
      </c>
      <c r="F386" s="9" t="s">
        <v>1164</v>
      </c>
      <c r="G386" s="8" t="s">
        <v>1165</v>
      </c>
      <c r="H386" s="15"/>
      <c r="I386" s="15"/>
      <c r="J386" s="10"/>
      <c r="K386" s="10"/>
      <c r="L386" s="10"/>
      <c r="M386" s="11" t="str">
        <f aca="false">IF(COUNTA(J386:L386)&lt;3,"",IF(COUNTIF(J386:L386,"유지")=3,"채택","제외"))</f>
        <v/>
      </c>
      <c r="N386" s="12"/>
    </row>
    <row r="387" customFormat="false" ht="15" hidden="false" customHeight="false" outlineLevel="0" collapsed="false">
      <c r="A387" s="7" t="n">
        <v>386</v>
      </c>
      <c r="B387" s="7" t="s">
        <v>1025</v>
      </c>
      <c r="C387" s="7" t="s">
        <v>1026</v>
      </c>
      <c r="D387" s="7" t="s">
        <v>1166</v>
      </c>
      <c r="E387" s="8" t="s">
        <v>1167</v>
      </c>
      <c r="F387" s="9" t="s">
        <v>1168</v>
      </c>
      <c r="G387" s="8" t="s">
        <v>1168</v>
      </c>
      <c r="H387" s="15"/>
      <c r="I387" s="15"/>
      <c r="J387" s="10"/>
      <c r="K387" s="10"/>
      <c r="L387" s="10"/>
      <c r="M387" s="11" t="str">
        <f aca="false">IF(COUNTA(J387:L387)&lt;3,"",IF(COUNTIF(J387:L387,"유지")=3,"채택","제외"))</f>
        <v/>
      </c>
      <c r="N387" s="12"/>
    </row>
    <row r="388" customFormat="false" ht="15" hidden="false" customHeight="false" outlineLevel="0" collapsed="false">
      <c r="A388" s="7" t="n">
        <v>387</v>
      </c>
      <c r="B388" s="7" t="s">
        <v>1025</v>
      </c>
      <c r="C388" s="7" t="s">
        <v>1026</v>
      </c>
      <c r="D388" s="7" t="s">
        <v>1169</v>
      </c>
      <c r="E388" s="8" t="s">
        <v>1170</v>
      </c>
      <c r="F388" s="9" t="s">
        <v>1171</v>
      </c>
      <c r="G388" s="8" t="s">
        <v>1171</v>
      </c>
      <c r="H388" s="15"/>
      <c r="I388" s="15"/>
      <c r="J388" s="10"/>
      <c r="K388" s="10"/>
      <c r="L388" s="10"/>
      <c r="M388" s="11" t="str">
        <f aca="false">IF(COUNTA(J388:L388)&lt;3,"",IF(COUNTIF(J388:L388,"유지")=3,"채택","제외"))</f>
        <v/>
      </c>
      <c r="N388" s="12"/>
    </row>
    <row r="389" customFormat="false" ht="15" hidden="false" customHeight="false" outlineLevel="0" collapsed="false">
      <c r="A389" s="7" t="n">
        <v>388</v>
      </c>
      <c r="B389" s="7" t="s">
        <v>1025</v>
      </c>
      <c r="C389" s="7" t="s">
        <v>1026</v>
      </c>
      <c r="D389" s="7" t="s">
        <v>1172</v>
      </c>
      <c r="E389" s="8" t="s">
        <v>1173</v>
      </c>
      <c r="F389" s="9" t="s">
        <v>1174</v>
      </c>
      <c r="G389" s="8" t="s">
        <v>1174</v>
      </c>
      <c r="H389" s="15"/>
      <c r="I389" s="15"/>
      <c r="J389" s="10"/>
      <c r="K389" s="10"/>
      <c r="L389" s="10"/>
      <c r="M389" s="11" t="str">
        <f aca="false">IF(COUNTA(J389:L389)&lt;3,"",IF(COUNTIF(J389:L389,"유지")=3,"채택","제외"))</f>
        <v/>
      </c>
      <c r="N389" s="12"/>
    </row>
    <row r="390" customFormat="false" ht="15" hidden="false" customHeight="false" outlineLevel="0" collapsed="false">
      <c r="A390" s="7" t="n">
        <v>389</v>
      </c>
      <c r="B390" s="7" t="s">
        <v>1025</v>
      </c>
      <c r="C390" s="7" t="s">
        <v>1026</v>
      </c>
      <c r="D390" s="7" t="s">
        <v>1175</v>
      </c>
      <c r="E390" s="8" t="s">
        <v>1176</v>
      </c>
      <c r="F390" s="9" t="s">
        <v>1177</v>
      </c>
      <c r="G390" s="8" t="s">
        <v>1177</v>
      </c>
      <c r="H390" s="15"/>
      <c r="I390" s="15"/>
      <c r="J390" s="10"/>
      <c r="K390" s="10"/>
      <c r="L390" s="10"/>
      <c r="M390" s="11" t="str">
        <f aca="false">IF(COUNTA(J390:L390)&lt;3,"",IF(COUNTIF(J390:L390,"유지")=3,"채택","제외"))</f>
        <v/>
      </c>
      <c r="N390" s="12"/>
    </row>
    <row r="391" customFormat="false" ht="15" hidden="false" customHeight="false" outlineLevel="0" collapsed="false">
      <c r="A391" s="7" t="n">
        <v>390</v>
      </c>
      <c r="B391" s="7" t="s">
        <v>1025</v>
      </c>
      <c r="C391" s="7" t="s">
        <v>1026</v>
      </c>
      <c r="D391" s="7" t="s">
        <v>1178</v>
      </c>
      <c r="E391" s="8" t="s">
        <v>1179</v>
      </c>
      <c r="F391" s="9" t="s">
        <v>1180</v>
      </c>
      <c r="G391" s="8" t="s">
        <v>1180</v>
      </c>
      <c r="H391" s="15"/>
      <c r="I391" s="15"/>
      <c r="J391" s="10"/>
      <c r="K391" s="10"/>
      <c r="L391" s="10"/>
      <c r="M391" s="11" t="str">
        <f aca="false">IF(COUNTA(J391:L391)&lt;3,"",IF(COUNTIF(J391:L391,"유지")=3,"채택","제외"))</f>
        <v/>
      </c>
      <c r="N391" s="12"/>
    </row>
    <row r="392" customFormat="false" ht="15" hidden="false" customHeight="false" outlineLevel="0" collapsed="false">
      <c r="A392" s="7" t="n">
        <v>391</v>
      </c>
      <c r="B392" s="7" t="s">
        <v>1025</v>
      </c>
      <c r="C392" s="7" t="s">
        <v>1026</v>
      </c>
      <c r="D392" s="7" t="s">
        <v>1181</v>
      </c>
      <c r="E392" s="8" t="s">
        <v>1182</v>
      </c>
      <c r="F392" s="9" t="s">
        <v>1183</v>
      </c>
      <c r="G392" s="8" t="s">
        <v>1183</v>
      </c>
      <c r="H392" s="15"/>
      <c r="I392" s="15"/>
      <c r="J392" s="10"/>
      <c r="K392" s="10"/>
      <c r="L392" s="10"/>
      <c r="M392" s="11" t="str">
        <f aca="false">IF(COUNTA(J392:L392)&lt;3,"",IF(COUNTIF(J392:L392,"유지")=3,"채택","제외"))</f>
        <v/>
      </c>
      <c r="N392" s="12"/>
    </row>
    <row r="393" customFormat="false" ht="15" hidden="false" customHeight="false" outlineLevel="0" collapsed="false">
      <c r="A393" s="7" t="n">
        <v>392</v>
      </c>
      <c r="B393" s="7" t="s">
        <v>1025</v>
      </c>
      <c r="C393" s="7" t="s">
        <v>1026</v>
      </c>
      <c r="D393" s="7" t="s">
        <v>1184</v>
      </c>
      <c r="E393" s="8" t="s">
        <v>1185</v>
      </c>
      <c r="F393" s="9" t="s">
        <v>1186</v>
      </c>
      <c r="G393" s="8" t="s">
        <v>1186</v>
      </c>
      <c r="H393" s="15"/>
      <c r="I393" s="15"/>
      <c r="J393" s="10"/>
      <c r="K393" s="10"/>
      <c r="L393" s="10"/>
      <c r="M393" s="11" t="str">
        <f aca="false">IF(COUNTA(J393:L393)&lt;3,"",IF(COUNTIF(J393:L393,"유지")=3,"채택","제외"))</f>
        <v/>
      </c>
      <c r="N393" s="12"/>
    </row>
    <row r="394" customFormat="false" ht="15" hidden="false" customHeight="false" outlineLevel="0" collapsed="false">
      <c r="A394" s="7" t="n">
        <v>393</v>
      </c>
      <c r="B394" s="7" t="s">
        <v>1025</v>
      </c>
      <c r="C394" s="7" t="s">
        <v>1026</v>
      </c>
      <c r="D394" s="7" t="s">
        <v>1187</v>
      </c>
      <c r="E394" s="8" t="s">
        <v>1188</v>
      </c>
      <c r="F394" s="9" t="s">
        <v>1189</v>
      </c>
      <c r="G394" s="8" t="s">
        <v>1189</v>
      </c>
      <c r="H394" s="15"/>
      <c r="I394" s="15"/>
      <c r="J394" s="10"/>
      <c r="K394" s="10"/>
      <c r="L394" s="10"/>
      <c r="M394" s="11" t="str">
        <f aca="false">IF(COUNTA(J394:L394)&lt;3,"",IF(COUNTIF(J394:L394,"유지")=3,"채택","제외"))</f>
        <v/>
      </c>
      <c r="N394" s="12"/>
    </row>
    <row r="395" customFormat="false" ht="15" hidden="false" customHeight="false" outlineLevel="0" collapsed="false">
      <c r="A395" s="7" t="n">
        <v>394</v>
      </c>
      <c r="B395" s="7" t="s">
        <v>1025</v>
      </c>
      <c r="C395" s="7" t="s">
        <v>1026</v>
      </c>
      <c r="D395" s="7" t="s">
        <v>1190</v>
      </c>
      <c r="E395" s="8" t="s">
        <v>1191</v>
      </c>
      <c r="F395" s="9" t="s">
        <v>1192</v>
      </c>
      <c r="G395" s="8" t="s">
        <v>1192</v>
      </c>
      <c r="H395" s="15"/>
      <c r="I395" s="15"/>
      <c r="J395" s="10"/>
      <c r="K395" s="10"/>
      <c r="L395" s="10"/>
      <c r="M395" s="11" t="str">
        <f aca="false">IF(COUNTA(J395:L395)&lt;3,"",IF(COUNTIF(J395:L395,"유지")=3,"채택","제외"))</f>
        <v/>
      </c>
      <c r="N395" s="12"/>
    </row>
    <row r="396" customFormat="false" ht="15" hidden="false" customHeight="false" outlineLevel="0" collapsed="false">
      <c r="A396" s="7" t="n">
        <v>395</v>
      </c>
      <c r="B396" s="7" t="s">
        <v>1025</v>
      </c>
      <c r="C396" s="7" t="s">
        <v>1026</v>
      </c>
      <c r="D396" s="7" t="s">
        <v>1190</v>
      </c>
      <c r="E396" s="8" t="s">
        <v>1193</v>
      </c>
      <c r="F396" s="9" t="s">
        <v>1194</v>
      </c>
      <c r="G396" s="8" t="s">
        <v>1194</v>
      </c>
      <c r="H396" s="15"/>
      <c r="I396" s="15"/>
      <c r="J396" s="10"/>
      <c r="K396" s="10"/>
      <c r="L396" s="10"/>
      <c r="M396" s="11" t="str">
        <f aca="false">IF(COUNTA(J396:L396)&lt;3,"",IF(COUNTIF(J396:L396,"유지")=3,"채택","제외"))</f>
        <v/>
      </c>
      <c r="N396" s="12"/>
    </row>
    <row r="397" customFormat="false" ht="15" hidden="false" customHeight="false" outlineLevel="0" collapsed="false">
      <c r="A397" s="7" t="n">
        <v>396</v>
      </c>
      <c r="B397" s="7" t="s">
        <v>1025</v>
      </c>
      <c r="C397" s="7" t="s">
        <v>1026</v>
      </c>
      <c r="D397" s="7" t="s">
        <v>1195</v>
      </c>
      <c r="E397" s="8" t="s">
        <v>1196</v>
      </c>
      <c r="F397" s="9" t="s">
        <v>1197</v>
      </c>
      <c r="G397" s="8" t="s">
        <v>1197</v>
      </c>
      <c r="H397" s="15"/>
      <c r="I397" s="15"/>
      <c r="J397" s="10"/>
      <c r="K397" s="10"/>
      <c r="L397" s="10"/>
      <c r="M397" s="11" t="str">
        <f aca="false">IF(COUNTA(J397:L397)&lt;3,"",IF(COUNTIF(J397:L397,"유지")=3,"채택","제외"))</f>
        <v/>
      </c>
      <c r="N397" s="12"/>
    </row>
    <row r="398" customFormat="false" ht="15" hidden="false" customHeight="false" outlineLevel="0" collapsed="false">
      <c r="A398" s="7" t="n">
        <v>397</v>
      </c>
      <c r="B398" s="7" t="s">
        <v>1025</v>
      </c>
      <c r="C398" s="7" t="s">
        <v>1026</v>
      </c>
      <c r="D398" s="7" t="s">
        <v>1198</v>
      </c>
      <c r="E398" s="8" t="s">
        <v>1199</v>
      </c>
      <c r="F398" s="9" t="s">
        <v>1200</v>
      </c>
      <c r="G398" s="8" t="s">
        <v>1200</v>
      </c>
      <c r="H398" s="15"/>
      <c r="I398" s="15"/>
      <c r="J398" s="10"/>
      <c r="K398" s="10"/>
      <c r="L398" s="10"/>
      <c r="M398" s="11" t="str">
        <f aca="false">IF(COUNTA(J398:L398)&lt;3,"",IF(COUNTIF(J398:L398,"유지")=3,"채택","제외"))</f>
        <v/>
      </c>
      <c r="N398" s="12"/>
    </row>
    <row r="399" customFormat="false" ht="29.85" hidden="false" customHeight="false" outlineLevel="0" collapsed="false">
      <c r="A399" s="7" t="n">
        <v>398</v>
      </c>
      <c r="B399" s="7" t="s">
        <v>1025</v>
      </c>
      <c r="C399" s="7" t="s">
        <v>1026</v>
      </c>
      <c r="D399" s="7" t="s">
        <v>1201</v>
      </c>
      <c r="E399" s="8" t="s">
        <v>1202</v>
      </c>
      <c r="F399" s="9" t="s">
        <v>1203</v>
      </c>
      <c r="G399" s="8" t="s">
        <v>1203</v>
      </c>
      <c r="H399" s="13" t="s">
        <v>1204</v>
      </c>
      <c r="I399" s="14" t="s">
        <v>1205</v>
      </c>
      <c r="J399" s="10"/>
      <c r="K399" s="10"/>
      <c r="L399" s="10"/>
      <c r="M399" s="11" t="str">
        <f aca="false">IF(COUNTA(J399:L399)&lt;3,"",IF(COUNTIF(J399:L399,"유지")=3,"채택","제외"))</f>
        <v/>
      </c>
      <c r="N399" s="12"/>
    </row>
    <row r="400" customFormat="false" ht="15" hidden="false" customHeight="false" outlineLevel="0" collapsed="false">
      <c r="A400" s="7" t="n">
        <v>399</v>
      </c>
      <c r="B400" s="7" t="s">
        <v>1025</v>
      </c>
      <c r="C400" s="7" t="s">
        <v>1026</v>
      </c>
      <c r="D400" s="7" t="s">
        <v>1206</v>
      </c>
      <c r="E400" s="8" t="s">
        <v>1207</v>
      </c>
      <c r="F400" s="9" t="s">
        <v>1208</v>
      </c>
      <c r="G400" s="8" t="s">
        <v>1208</v>
      </c>
      <c r="H400" s="13" t="s">
        <v>87</v>
      </c>
      <c r="I400" s="14"/>
      <c r="J400" s="10"/>
      <c r="K400" s="10"/>
      <c r="L400" s="10"/>
      <c r="M400" s="11" t="str">
        <f aca="false">IF(COUNTA(J400:L400)&lt;3,"",IF(COUNTIF(J400:L400,"유지")=3,"채택","제외"))</f>
        <v/>
      </c>
      <c r="N400" s="12"/>
    </row>
    <row r="401" customFormat="false" ht="15" hidden="false" customHeight="false" outlineLevel="0" collapsed="false">
      <c r="A401" s="7" t="n">
        <v>400</v>
      </c>
      <c r="B401" s="7" t="s">
        <v>1025</v>
      </c>
      <c r="C401" s="7" t="s">
        <v>1026</v>
      </c>
      <c r="D401" s="7" t="s">
        <v>1209</v>
      </c>
      <c r="E401" s="8" t="s">
        <v>1210</v>
      </c>
      <c r="F401" s="9" t="s">
        <v>1211</v>
      </c>
      <c r="G401" s="8" t="s">
        <v>1211</v>
      </c>
      <c r="H401" s="15"/>
      <c r="I401" s="15"/>
      <c r="J401" s="10"/>
      <c r="K401" s="10"/>
      <c r="L401" s="10"/>
      <c r="M401" s="11" t="str">
        <f aca="false">IF(COUNTA(J401:L401)&lt;3,"",IF(COUNTIF(J401:L401,"유지")=3,"채택","제외"))</f>
        <v/>
      </c>
      <c r="N401" s="12"/>
    </row>
    <row r="402" customFormat="false" ht="15" hidden="false" customHeight="false" outlineLevel="0" collapsed="false">
      <c r="A402" s="7" t="n">
        <v>401</v>
      </c>
      <c r="B402" s="7" t="s">
        <v>1025</v>
      </c>
      <c r="C402" s="7" t="s">
        <v>1026</v>
      </c>
      <c r="D402" s="7" t="s">
        <v>1212</v>
      </c>
      <c r="E402" s="8" t="s">
        <v>1213</v>
      </c>
      <c r="F402" s="9" t="s">
        <v>1214</v>
      </c>
      <c r="G402" s="8" t="s">
        <v>1214</v>
      </c>
      <c r="H402" s="15"/>
      <c r="I402" s="15"/>
      <c r="J402" s="10"/>
      <c r="K402" s="10"/>
      <c r="L402" s="10"/>
      <c r="M402" s="11" t="str">
        <f aca="false">IF(COUNTA(J402:L402)&lt;3,"",IF(COUNTIF(J402:L402,"유지")=3,"채택","제외"))</f>
        <v/>
      </c>
      <c r="N402" s="12"/>
    </row>
    <row r="403" customFormat="false" ht="15" hidden="false" customHeight="false" outlineLevel="0" collapsed="false">
      <c r="A403" s="7" t="n">
        <v>402</v>
      </c>
      <c r="B403" s="7" t="s">
        <v>1025</v>
      </c>
      <c r="C403" s="7" t="s">
        <v>1026</v>
      </c>
      <c r="D403" s="7" t="s">
        <v>1215</v>
      </c>
      <c r="E403" s="8" t="s">
        <v>1216</v>
      </c>
      <c r="F403" s="9" t="s">
        <v>1217</v>
      </c>
      <c r="G403" s="8" t="s">
        <v>1217</v>
      </c>
      <c r="H403" s="15"/>
      <c r="I403" s="15"/>
      <c r="J403" s="10"/>
      <c r="K403" s="10"/>
      <c r="L403" s="10"/>
      <c r="M403" s="11" t="str">
        <f aca="false">IF(COUNTA(J403:L403)&lt;3,"",IF(COUNTIF(J403:L403,"유지")=3,"채택","제외"))</f>
        <v/>
      </c>
      <c r="N403" s="12"/>
    </row>
    <row r="404" customFormat="false" ht="15" hidden="false" customHeight="false" outlineLevel="0" collapsed="false">
      <c r="A404" s="7" t="n">
        <v>403</v>
      </c>
      <c r="B404" s="7" t="s">
        <v>1025</v>
      </c>
      <c r="C404" s="7" t="s">
        <v>1026</v>
      </c>
      <c r="D404" s="7" t="s">
        <v>1218</v>
      </c>
      <c r="E404" s="8" t="s">
        <v>1219</v>
      </c>
      <c r="F404" s="9" t="s">
        <v>1220</v>
      </c>
      <c r="G404" s="8" t="s">
        <v>1220</v>
      </c>
      <c r="H404" s="15"/>
      <c r="I404" s="15"/>
      <c r="J404" s="10"/>
      <c r="K404" s="10"/>
      <c r="L404" s="10"/>
      <c r="M404" s="11" t="str">
        <f aca="false">IF(COUNTA(J404:L404)&lt;3,"",IF(COUNTIF(J404:L404,"유지")=3,"채택","제외"))</f>
        <v/>
      </c>
      <c r="N404" s="12"/>
    </row>
    <row r="405" customFormat="false" ht="15" hidden="false" customHeight="false" outlineLevel="0" collapsed="false">
      <c r="A405" s="7" t="n">
        <v>404</v>
      </c>
      <c r="B405" s="7" t="s">
        <v>1025</v>
      </c>
      <c r="C405" s="7" t="s">
        <v>1026</v>
      </c>
      <c r="D405" s="7" t="s">
        <v>1221</v>
      </c>
      <c r="E405" s="8" t="s">
        <v>1222</v>
      </c>
      <c r="F405" s="9" t="s">
        <v>1223</v>
      </c>
      <c r="G405" s="8" t="s">
        <v>1223</v>
      </c>
      <c r="H405" s="15"/>
      <c r="I405" s="15"/>
      <c r="J405" s="10"/>
      <c r="K405" s="10"/>
      <c r="L405" s="10"/>
      <c r="M405" s="11" t="str">
        <f aca="false">IF(COUNTA(J405:L405)&lt;3,"",IF(COUNTIF(J405:L405,"유지")=3,"채택","제외"))</f>
        <v/>
      </c>
      <c r="N405" s="12"/>
    </row>
    <row r="406" customFormat="false" ht="15" hidden="false" customHeight="false" outlineLevel="0" collapsed="false">
      <c r="A406" s="7" t="n">
        <v>405</v>
      </c>
      <c r="B406" s="7" t="s">
        <v>1025</v>
      </c>
      <c r="C406" s="7" t="s">
        <v>1026</v>
      </c>
      <c r="D406" s="7" t="s">
        <v>1224</v>
      </c>
      <c r="E406" s="8" t="s">
        <v>1225</v>
      </c>
      <c r="F406" s="9" t="s">
        <v>1226</v>
      </c>
      <c r="G406" s="8" t="s">
        <v>1226</v>
      </c>
      <c r="H406" s="15"/>
      <c r="I406" s="15"/>
      <c r="J406" s="10"/>
      <c r="K406" s="10"/>
      <c r="L406" s="10"/>
      <c r="M406" s="11" t="str">
        <f aca="false">IF(COUNTA(J406:L406)&lt;3,"",IF(COUNTIF(J406:L406,"유지")=3,"채택","제외"))</f>
        <v/>
      </c>
      <c r="N406" s="12"/>
    </row>
    <row r="407" customFormat="false" ht="15" hidden="false" customHeight="false" outlineLevel="0" collapsed="false">
      <c r="A407" s="7" t="n">
        <v>406</v>
      </c>
      <c r="B407" s="7" t="s">
        <v>1025</v>
      </c>
      <c r="C407" s="7" t="s">
        <v>1026</v>
      </c>
      <c r="D407" s="7" t="s">
        <v>1227</v>
      </c>
      <c r="E407" s="8" t="s">
        <v>1228</v>
      </c>
      <c r="F407" s="9" t="s">
        <v>1229</v>
      </c>
      <c r="G407" s="8" t="s">
        <v>1229</v>
      </c>
      <c r="H407" s="13" t="s">
        <v>87</v>
      </c>
      <c r="I407" s="14"/>
      <c r="J407" s="10"/>
      <c r="K407" s="10"/>
      <c r="L407" s="10"/>
      <c r="M407" s="11" t="str">
        <f aca="false">IF(COUNTA(J407:L407)&lt;3,"",IF(COUNTIF(J407:L407,"유지")=3,"채택","제외"))</f>
        <v/>
      </c>
      <c r="N407" s="12"/>
    </row>
    <row r="408" customFormat="false" ht="15" hidden="false" customHeight="false" outlineLevel="0" collapsed="false">
      <c r="A408" s="7" t="n">
        <v>407</v>
      </c>
      <c r="B408" s="7" t="s">
        <v>1025</v>
      </c>
      <c r="C408" s="7" t="s">
        <v>1026</v>
      </c>
      <c r="D408" s="7" t="s">
        <v>1230</v>
      </c>
      <c r="E408" s="8" t="s">
        <v>1231</v>
      </c>
      <c r="F408" s="9" t="s">
        <v>1232</v>
      </c>
      <c r="G408" s="8" t="s">
        <v>1232</v>
      </c>
      <c r="H408" s="15"/>
      <c r="I408" s="15"/>
      <c r="J408" s="10"/>
      <c r="K408" s="10"/>
      <c r="L408" s="10"/>
      <c r="M408" s="11" t="str">
        <f aca="false">IF(COUNTA(J408:L408)&lt;3,"",IF(COUNTIF(J408:L408,"유지")=3,"채택","제외"))</f>
        <v/>
      </c>
      <c r="N408" s="12"/>
    </row>
    <row r="409" customFormat="false" ht="15" hidden="false" customHeight="false" outlineLevel="0" collapsed="false">
      <c r="A409" s="7" t="n">
        <v>408</v>
      </c>
      <c r="B409" s="7" t="s">
        <v>1025</v>
      </c>
      <c r="C409" s="7" t="s">
        <v>1026</v>
      </c>
      <c r="D409" s="7" t="s">
        <v>1233</v>
      </c>
      <c r="E409" s="8" t="s">
        <v>1234</v>
      </c>
      <c r="F409" s="9" t="s">
        <v>1235</v>
      </c>
      <c r="G409" s="8" t="s">
        <v>1235</v>
      </c>
      <c r="H409" s="13" t="s">
        <v>1204</v>
      </c>
      <c r="I409" s="14"/>
      <c r="J409" s="10"/>
      <c r="K409" s="10"/>
      <c r="L409" s="10"/>
      <c r="M409" s="11" t="str">
        <f aca="false">IF(COUNTA(J409:L409)&lt;3,"",IF(COUNTIF(J409:L409,"유지")=3,"채택","제외"))</f>
        <v/>
      </c>
      <c r="N409" s="12"/>
    </row>
    <row r="410" customFormat="false" ht="15" hidden="false" customHeight="false" outlineLevel="0" collapsed="false">
      <c r="A410" s="7" t="n">
        <v>409</v>
      </c>
      <c r="B410" s="7" t="s">
        <v>1025</v>
      </c>
      <c r="C410" s="7" t="s">
        <v>1026</v>
      </c>
      <c r="D410" s="7" t="s">
        <v>1236</v>
      </c>
      <c r="E410" s="8" t="s">
        <v>1237</v>
      </c>
      <c r="F410" s="9" t="s">
        <v>1238</v>
      </c>
      <c r="G410" s="8" t="s">
        <v>1238</v>
      </c>
      <c r="H410" s="15"/>
      <c r="I410" s="15"/>
      <c r="J410" s="10"/>
      <c r="K410" s="10"/>
      <c r="L410" s="10"/>
      <c r="M410" s="11" t="str">
        <f aca="false">IF(COUNTA(J410:L410)&lt;3,"",IF(COUNTIF(J410:L410,"유지")=3,"채택","제외"))</f>
        <v/>
      </c>
      <c r="N410" s="12"/>
    </row>
    <row r="411" customFormat="false" ht="15" hidden="false" customHeight="false" outlineLevel="0" collapsed="false">
      <c r="A411" s="7" t="n">
        <v>410</v>
      </c>
      <c r="B411" s="7" t="s">
        <v>1025</v>
      </c>
      <c r="C411" s="7" t="s">
        <v>1026</v>
      </c>
      <c r="D411" s="7" t="s">
        <v>1239</v>
      </c>
      <c r="E411" s="8" t="s">
        <v>1240</v>
      </c>
      <c r="F411" s="9" t="s">
        <v>1241</v>
      </c>
      <c r="G411" s="8" t="s">
        <v>1241</v>
      </c>
      <c r="H411" s="15"/>
      <c r="I411" s="15"/>
      <c r="J411" s="10"/>
      <c r="K411" s="10"/>
      <c r="L411" s="10"/>
      <c r="M411" s="11" t="str">
        <f aca="false">IF(COUNTA(J411:L411)&lt;3,"",IF(COUNTIF(J411:L411,"유지")=3,"채택","제외"))</f>
        <v/>
      </c>
      <c r="N411" s="12"/>
    </row>
    <row r="412" customFormat="false" ht="15" hidden="false" customHeight="false" outlineLevel="0" collapsed="false">
      <c r="A412" s="7" t="n">
        <v>411</v>
      </c>
      <c r="B412" s="7" t="s">
        <v>1025</v>
      </c>
      <c r="C412" s="7" t="s">
        <v>1026</v>
      </c>
      <c r="D412" s="7" t="s">
        <v>1242</v>
      </c>
      <c r="E412" s="8" t="s">
        <v>1243</v>
      </c>
      <c r="F412" s="9" t="s">
        <v>1244</v>
      </c>
      <c r="G412" s="8" t="s">
        <v>1244</v>
      </c>
      <c r="H412" s="13" t="s">
        <v>1204</v>
      </c>
      <c r="I412" s="14"/>
      <c r="J412" s="10"/>
      <c r="K412" s="10"/>
      <c r="L412" s="10"/>
      <c r="M412" s="11" t="str">
        <f aca="false">IF(COUNTA(J412:L412)&lt;3,"",IF(COUNTIF(J412:L412,"유지")=3,"채택","제외"))</f>
        <v/>
      </c>
      <c r="N412" s="12"/>
    </row>
    <row r="413" customFormat="false" ht="15" hidden="false" customHeight="false" outlineLevel="0" collapsed="false">
      <c r="A413" s="7" t="n">
        <v>412</v>
      </c>
      <c r="B413" s="7" t="s">
        <v>1025</v>
      </c>
      <c r="C413" s="7" t="s">
        <v>1026</v>
      </c>
      <c r="D413" s="7" t="s">
        <v>1245</v>
      </c>
      <c r="E413" s="8" t="s">
        <v>1246</v>
      </c>
      <c r="F413" s="9" t="s">
        <v>1247</v>
      </c>
      <c r="G413" s="8" t="s">
        <v>1247</v>
      </c>
      <c r="H413" s="15"/>
      <c r="I413" s="15"/>
      <c r="J413" s="10"/>
      <c r="K413" s="10"/>
      <c r="L413" s="10"/>
      <c r="M413" s="11" t="str">
        <f aca="false">IF(COUNTA(J413:L413)&lt;3,"",IF(COUNTIF(J413:L413,"유지")=3,"채택","제외"))</f>
        <v/>
      </c>
      <c r="N413" s="12"/>
    </row>
    <row r="414" customFormat="false" ht="15" hidden="false" customHeight="false" outlineLevel="0" collapsed="false">
      <c r="A414" s="7" t="n">
        <v>413</v>
      </c>
      <c r="B414" s="7" t="s">
        <v>1025</v>
      </c>
      <c r="C414" s="7" t="s">
        <v>1026</v>
      </c>
      <c r="D414" s="7" t="s">
        <v>1248</v>
      </c>
      <c r="E414" s="8" t="s">
        <v>1249</v>
      </c>
      <c r="F414" s="9" t="s">
        <v>1070</v>
      </c>
      <c r="G414" s="8" t="s">
        <v>1070</v>
      </c>
      <c r="H414" s="13" t="s">
        <v>87</v>
      </c>
      <c r="I414" s="14"/>
      <c r="J414" s="10"/>
      <c r="K414" s="10"/>
      <c r="L414" s="10"/>
      <c r="M414" s="11" t="str">
        <f aca="false">IF(COUNTA(J414:L414)&lt;3,"",IF(COUNTIF(J414:L414,"유지")=3,"채택","제외"))</f>
        <v/>
      </c>
      <c r="N414" s="12"/>
    </row>
    <row r="415" customFormat="false" ht="15" hidden="false" customHeight="false" outlineLevel="0" collapsed="false">
      <c r="A415" s="7" t="n">
        <v>414</v>
      </c>
      <c r="B415" s="7" t="s">
        <v>1025</v>
      </c>
      <c r="C415" s="7" t="s">
        <v>1026</v>
      </c>
      <c r="D415" s="7" t="s">
        <v>1250</v>
      </c>
      <c r="E415" s="8" t="s">
        <v>1251</v>
      </c>
      <c r="F415" s="9" t="s">
        <v>1252</v>
      </c>
      <c r="G415" s="8" t="s">
        <v>1253</v>
      </c>
      <c r="H415" s="15"/>
      <c r="I415" s="15"/>
      <c r="J415" s="10"/>
      <c r="K415" s="10"/>
      <c r="L415" s="10"/>
      <c r="M415" s="11" t="str">
        <f aca="false">IF(COUNTA(J415:L415)&lt;3,"",IF(COUNTIF(J415:L415,"유지")=3,"채택","제외"))</f>
        <v/>
      </c>
      <c r="N415" s="12"/>
    </row>
    <row r="416" customFormat="false" ht="15" hidden="false" customHeight="false" outlineLevel="0" collapsed="false">
      <c r="A416" s="7" t="n">
        <v>415</v>
      </c>
      <c r="B416" s="7" t="s">
        <v>1025</v>
      </c>
      <c r="C416" s="7" t="s">
        <v>1026</v>
      </c>
      <c r="D416" s="7" t="s">
        <v>1254</v>
      </c>
      <c r="E416" s="8" t="s">
        <v>1255</v>
      </c>
      <c r="F416" s="9" t="s">
        <v>1256</v>
      </c>
      <c r="G416" s="8" t="s">
        <v>1256</v>
      </c>
      <c r="H416" s="15"/>
      <c r="I416" s="15"/>
      <c r="J416" s="10"/>
      <c r="K416" s="10"/>
      <c r="L416" s="10"/>
      <c r="M416" s="11" t="str">
        <f aca="false">IF(COUNTA(J416:L416)&lt;3,"",IF(COUNTIF(J416:L416,"유지")=3,"채택","제외"))</f>
        <v/>
      </c>
      <c r="N416" s="12"/>
    </row>
    <row r="417" customFormat="false" ht="15" hidden="false" customHeight="false" outlineLevel="0" collapsed="false">
      <c r="A417" s="7" t="n">
        <v>416</v>
      </c>
      <c r="B417" s="7" t="s">
        <v>1025</v>
      </c>
      <c r="C417" s="7" t="s">
        <v>1026</v>
      </c>
      <c r="D417" s="7" t="s">
        <v>1254</v>
      </c>
      <c r="E417" s="8" t="s">
        <v>1257</v>
      </c>
      <c r="F417" s="9" t="s">
        <v>1258</v>
      </c>
      <c r="G417" s="8" t="s">
        <v>1259</v>
      </c>
      <c r="H417" s="15"/>
      <c r="I417" s="15"/>
      <c r="J417" s="10"/>
      <c r="K417" s="10"/>
      <c r="L417" s="10"/>
      <c r="M417" s="11" t="str">
        <f aca="false">IF(COUNTA(J417:L417)&lt;3,"",IF(COUNTIF(J417:L417,"유지")=3,"채택","제외"))</f>
        <v/>
      </c>
      <c r="N417" s="12"/>
    </row>
    <row r="418" customFormat="false" ht="15" hidden="false" customHeight="false" outlineLevel="0" collapsed="false">
      <c r="A418" s="7" t="n">
        <v>417</v>
      </c>
      <c r="B418" s="7" t="s">
        <v>1025</v>
      </c>
      <c r="C418" s="7" t="s">
        <v>1026</v>
      </c>
      <c r="D418" s="7" t="s">
        <v>1260</v>
      </c>
      <c r="E418" s="8" t="s">
        <v>1261</v>
      </c>
      <c r="F418" s="9" t="s">
        <v>1262</v>
      </c>
      <c r="G418" s="8" t="s">
        <v>1262</v>
      </c>
      <c r="H418" s="15"/>
      <c r="I418" s="15"/>
      <c r="J418" s="10"/>
      <c r="K418" s="10"/>
      <c r="L418" s="10"/>
      <c r="M418" s="11" t="str">
        <f aca="false">IF(COUNTA(J418:L418)&lt;3,"",IF(COUNTIF(J418:L418,"유지")=3,"채택","제외"))</f>
        <v/>
      </c>
      <c r="N418" s="12"/>
    </row>
    <row r="419" customFormat="false" ht="15" hidden="false" customHeight="false" outlineLevel="0" collapsed="false">
      <c r="A419" s="7" t="n">
        <v>418</v>
      </c>
      <c r="B419" s="7" t="s">
        <v>1025</v>
      </c>
      <c r="C419" s="7" t="s">
        <v>1026</v>
      </c>
      <c r="D419" s="7" t="s">
        <v>1263</v>
      </c>
      <c r="E419" s="8" t="s">
        <v>1264</v>
      </c>
      <c r="F419" s="9" t="s">
        <v>1265</v>
      </c>
      <c r="G419" s="8" t="s">
        <v>1265</v>
      </c>
      <c r="H419" s="15"/>
      <c r="I419" s="15"/>
      <c r="J419" s="10"/>
      <c r="K419" s="10"/>
      <c r="L419" s="10"/>
      <c r="M419" s="11" t="str">
        <f aca="false">IF(COUNTA(J419:L419)&lt;3,"",IF(COUNTIF(J419:L419,"유지")=3,"채택","제외"))</f>
        <v/>
      </c>
      <c r="N419" s="12"/>
    </row>
    <row r="420" customFormat="false" ht="15" hidden="false" customHeight="false" outlineLevel="0" collapsed="false">
      <c r="A420" s="7" t="n">
        <v>419</v>
      </c>
      <c r="B420" s="7" t="s">
        <v>1025</v>
      </c>
      <c r="C420" s="7" t="s">
        <v>1026</v>
      </c>
      <c r="D420" s="7" t="s">
        <v>1266</v>
      </c>
      <c r="E420" s="8" t="s">
        <v>1267</v>
      </c>
      <c r="F420" s="9" t="s">
        <v>1268</v>
      </c>
      <c r="G420" s="8" t="s">
        <v>1268</v>
      </c>
      <c r="H420" s="15"/>
      <c r="I420" s="15"/>
      <c r="J420" s="10"/>
      <c r="K420" s="10"/>
      <c r="L420" s="10"/>
      <c r="M420" s="11" t="str">
        <f aca="false">IF(COUNTA(J420:L420)&lt;3,"",IF(COUNTIF(J420:L420,"유지")=3,"채택","제외"))</f>
        <v/>
      </c>
      <c r="N420" s="12"/>
    </row>
    <row r="421" customFormat="false" ht="15" hidden="false" customHeight="false" outlineLevel="0" collapsed="false">
      <c r="A421" s="7" t="n">
        <v>420</v>
      </c>
      <c r="B421" s="7" t="s">
        <v>1025</v>
      </c>
      <c r="C421" s="7" t="s">
        <v>1026</v>
      </c>
      <c r="D421" s="7" t="s">
        <v>1269</v>
      </c>
      <c r="E421" s="8" t="s">
        <v>1270</v>
      </c>
      <c r="F421" s="9" t="s">
        <v>1271</v>
      </c>
      <c r="G421" s="8" t="s">
        <v>1272</v>
      </c>
      <c r="H421" s="15"/>
      <c r="I421" s="15"/>
      <c r="J421" s="10"/>
      <c r="K421" s="10"/>
      <c r="L421" s="10"/>
      <c r="M421" s="11" t="str">
        <f aca="false">IF(COUNTA(J421:L421)&lt;3,"",IF(COUNTIF(J421:L421,"유지")=3,"채택","제외"))</f>
        <v/>
      </c>
      <c r="N421" s="12"/>
    </row>
    <row r="422" customFormat="false" ht="15" hidden="false" customHeight="false" outlineLevel="0" collapsed="false">
      <c r="A422" s="7" t="n">
        <v>421</v>
      </c>
      <c r="B422" s="7" t="s">
        <v>1025</v>
      </c>
      <c r="C422" s="7" t="s">
        <v>1026</v>
      </c>
      <c r="D422" s="7" t="s">
        <v>1273</v>
      </c>
      <c r="E422" s="8" t="s">
        <v>1046</v>
      </c>
      <c r="F422" s="9" t="s">
        <v>1047</v>
      </c>
      <c r="G422" s="8" t="s">
        <v>1047</v>
      </c>
      <c r="H422" s="13" t="s">
        <v>87</v>
      </c>
      <c r="I422" s="14"/>
      <c r="J422" s="10"/>
      <c r="K422" s="10"/>
      <c r="L422" s="10"/>
      <c r="M422" s="11" t="str">
        <f aca="false">IF(COUNTA(J422:L422)&lt;3,"",IF(COUNTIF(J422:L422,"유지")=3,"채택","제외"))</f>
        <v/>
      </c>
      <c r="N422" s="12"/>
    </row>
    <row r="423" customFormat="false" ht="15" hidden="false" customHeight="false" outlineLevel="0" collapsed="false">
      <c r="A423" s="7" t="n">
        <v>422</v>
      </c>
      <c r="B423" s="7" t="s">
        <v>1025</v>
      </c>
      <c r="C423" s="7" t="s">
        <v>1026</v>
      </c>
      <c r="D423" s="7" t="s">
        <v>1274</v>
      </c>
      <c r="E423" s="8" t="s">
        <v>1275</v>
      </c>
      <c r="F423" s="9" t="s">
        <v>1276</v>
      </c>
      <c r="G423" s="8" t="s">
        <v>1276</v>
      </c>
      <c r="H423" s="15"/>
      <c r="I423" s="15"/>
      <c r="J423" s="10"/>
      <c r="K423" s="10"/>
      <c r="L423" s="10"/>
      <c r="M423" s="11" t="str">
        <f aca="false">IF(COUNTA(J423:L423)&lt;3,"",IF(COUNTIF(J423:L423,"유지")=3,"채택","제외"))</f>
        <v/>
      </c>
      <c r="N423" s="12"/>
    </row>
    <row r="424" customFormat="false" ht="29.85" hidden="false" customHeight="false" outlineLevel="0" collapsed="false">
      <c r="A424" s="7" t="n">
        <v>423</v>
      </c>
      <c r="B424" s="7" t="s">
        <v>1025</v>
      </c>
      <c r="C424" s="7" t="s">
        <v>1026</v>
      </c>
      <c r="D424" s="7" t="s">
        <v>1277</v>
      </c>
      <c r="E424" s="8" t="s">
        <v>1278</v>
      </c>
      <c r="F424" s="9" t="s">
        <v>1279</v>
      </c>
      <c r="G424" s="8" t="s">
        <v>1280</v>
      </c>
      <c r="H424" s="14" t="s">
        <v>500</v>
      </c>
      <c r="I424" s="14" t="s">
        <v>1281</v>
      </c>
      <c r="J424" s="10"/>
      <c r="K424" s="10"/>
      <c r="L424" s="10"/>
      <c r="M424" s="11" t="str">
        <f aca="false">IF(COUNTA(J424:L424)&lt;3,"",IF(COUNTIF(J424:L424,"유지")=3,"채택","제외"))</f>
        <v/>
      </c>
      <c r="N424" s="12"/>
    </row>
    <row r="425" customFormat="false" ht="15" hidden="false" customHeight="false" outlineLevel="0" collapsed="false">
      <c r="A425" s="7" t="n">
        <v>424</v>
      </c>
      <c r="B425" s="7" t="s">
        <v>1025</v>
      </c>
      <c r="C425" s="7" t="s">
        <v>1026</v>
      </c>
      <c r="D425" s="7" t="s">
        <v>1282</v>
      </c>
      <c r="E425" s="8" t="s">
        <v>1046</v>
      </c>
      <c r="F425" s="9" t="s">
        <v>1047</v>
      </c>
      <c r="G425" s="8" t="s">
        <v>1047</v>
      </c>
      <c r="H425" s="13" t="s">
        <v>87</v>
      </c>
      <c r="I425" s="14"/>
      <c r="J425" s="10"/>
      <c r="K425" s="10"/>
      <c r="L425" s="10"/>
      <c r="M425" s="11" t="str">
        <f aca="false">IF(COUNTA(J425:L425)&lt;3,"",IF(COUNTIF(J425:L425,"유지")=3,"채택","제외"))</f>
        <v/>
      </c>
      <c r="N425" s="12"/>
    </row>
    <row r="426" customFormat="false" ht="15" hidden="false" customHeight="false" outlineLevel="0" collapsed="false">
      <c r="A426" s="7" t="n">
        <v>425</v>
      </c>
      <c r="B426" s="7" t="s">
        <v>1025</v>
      </c>
      <c r="C426" s="7" t="s">
        <v>1026</v>
      </c>
      <c r="D426" s="7" t="s">
        <v>1283</v>
      </c>
      <c r="E426" s="8" t="s">
        <v>1118</v>
      </c>
      <c r="F426" s="9" t="s">
        <v>1119</v>
      </c>
      <c r="G426" s="8" t="s">
        <v>1119</v>
      </c>
      <c r="H426" s="13" t="s">
        <v>87</v>
      </c>
      <c r="I426" s="14"/>
      <c r="J426" s="10"/>
      <c r="K426" s="10"/>
      <c r="L426" s="10"/>
      <c r="M426" s="11" t="str">
        <f aca="false">IF(COUNTA(J426:L426)&lt;3,"",IF(COUNTIF(J426:L426,"유지")=3,"채택","제외"))</f>
        <v/>
      </c>
      <c r="N426" s="12"/>
    </row>
    <row r="427" customFormat="false" ht="15" hidden="false" customHeight="false" outlineLevel="0" collapsed="false">
      <c r="A427" s="7" t="n">
        <v>426</v>
      </c>
      <c r="B427" s="7" t="s">
        <v>1025</v>
      </c>
      <c r="C427" s="7" t="s">
        <v>1026</v>
      </c>
      <c r="D427" s="7" t="s">
        <v>1284</v>
      </c>
      <c r="E427" s="8" t="s">
        <v>1285</v>
      </c>
      <c r="F427" s="9" t="s">
        <v>1286</v>
      </c>
      <c r="G427" s="8" t="s">
        <v>1286</v>
      </c>
      <c r="H427" s="15"/>
      <c r="I427" s="15"/>
      <c r="J427" s="10"/>
      <c r="K427" s="10"/>
      <c r="L427" s="10"/>
      <c r="M427" s="11" t="str">
        <f aca="false">IF(COUNTA(J427:L427)&lt;3,"",IF(COUNTIF(J427:L427,"유지")=3,"채택","제외"))</f>
        <v/>
      </c>
      <c r="N427" s="12"/>
    </row>
    <row r="428" customFormat="false" ht="15" hidden="false" customHeight="false" outlineLevel="0" collapsed="false">
      <c r="A428" s="7" t="n">
        <v>427</v>
      </c>
      <c r="B428" s="7" t="s">
        <v>1025</v>
      </c>
      <c r="C428" s="7" t="s">
        <v>1026</v>
      </c>
      <c r="D428" s="7" t="s">
        <v>1287</v>
      </c>
      <c r="E428" s="8" t="s">
        <v>1288</v>
      </c>
      <c r="F428" s="9" t="s">
        <v>1289</v>
      </c>
      <c r="G428" s="8" t="s">
        <v>1289</v>
      </c>
      <c r="H428" s="13" t="s">
        <v>74</v>
      </c>
      <c r="I428" s="14"/>
      <c r="J428" s="10"/>
      <c r="K428" s="10"/>
      <c r="L428" s="10"/>
      <c r="M428" s="11" t="str">
        <f aca="false">IF(COUNTA(J428:L428)&lt;3,"",IF(COUNTIF(J428:L428,"유지")=3,"채택","제외"))</f>
        <v/>
      </c>
      <c r="N428" s="12"/>
    </row>
    <row r="429" customFormat="false" ht="15" hidden="false" customHeight="false" outlineLevel="0" collapsed="false">
      <c r="A429" s="7" t="n">
        <v>428</v>
      </c>
      <c r="B429" s="7" t="s">
        <v>1025</v>
      </c>
      <c r="C429" s="7" t="s">
        <v>1026</v>
      </c>
      <c r="D429" s="7" t="s">
        <v>1290</v>
      </c>
      <c r="E429" s="8" t="s">
        <v>1291</v>
      </c>
      <c r="F429" s="9" t="s">
        <v>1292</v>
      </c>
      <c r="G429" s="8" t="s">
        <v>1292</v>
      </c>
      <c r="H429" s="15"/>
      <c r="I429" s="15"/>
      <c r="J429" s="10"/>
      <c r="K429" s="10"/>
      <c r="L429" s="10"/>
      <c r="M429" s="11" t="str">
        <f aca="false">IF(COUNTA(J429:L429)&lt;3,"",IF(COUNTIF(J429:L429,"유지")=3,"채택","제외"))</f>
        <v/>
      </c>
      <c r="N429" s="12"/>
    </row>
    <row r="430" customFormat="false" ht="15" hidden="false" customHeight="false" outlineLevel="0" collapsed="false">
      <c r="A430" s="7" t="n">
        <v>429</v>
      </c>
      <c r="B430" s="7" t="s">
        <v>1025</v>
      </c>
      <c r="C430" s="7" t="s">
        <v>1026</v>
      </c>
      <c r="D430" s="7" t="s">
        <v>1293</v>
      </c>
      <c r="E430" s="8" t="s">
        <v>1294</v>
      </c>
      <c r="F430" s="9" t="s">
        <v>1295</v>
      </c>
      <c r="G430" s="8" t="s">
        <v>1295</v>
      </c>
      <c r="H430" s="15"/>
      <c r="I430" s="15"/>
      <c r="J430" s="10"/>
      <c r="K430" s="10"/>
      <c r="L430" s="10"/>
      <c r="M430" s="11" t="str">
        <f aca="false">IF(COUNTA(J430:L430)&lt;3,"",IF(COUNTIF(J430:L430,"유지")=3,"채택","제외"))</f>
        <v/>
      </c>
      <c r="N430" s="12"/>
    </row>
    <row r="431" customFormat="false" ht="15" hidden="false" customHeight="false" outlineLevel="0" collapsed="false">
      <c r="A431" s="7" t="n">
        <v>430</v>
      </c>
      <c r="B431" s="7" t="s">
        <v>1025</v>
      </c>
      <c r="C431" s="7" t="s">
        <v>1026</v>
      </c>
      <c r="D431" s="7" t="s">
        <v>1293</v>
      </c>
      <c r="E431" s="8" t="s">
        <v>1296</v>
      </c>
      <c r="F431" s="9" t="s">
        <v>1297</v>
      </c>
      <c r="G431" s="8" t="s">
        <v>1297</v>
      </c>
      <c r="H431" s="14"/>
      <c r="I431" s="13" t="s">
        <v>1298</v>
      </c>
      <c r="J431" s="10"/>
      <c r="K431" s="10"/>
      <c r="L431" s="10"/>
      <c r="M431" s="11" t="str">
        <f aca="false">IF(COUNTA(J431:L431)&lt;3,"",IF(COUNTIF(J431:L431,"유지")=3,"채택","제외"))</f>
        <v/>
      </c>
      <c r="N431" s="12"/>
    </row>
    <row r="432" customFormat="false" ht="15" hidden="false" customHeight="false" outlineLevel="0" collapsed="false">
      <c r="A432" s="7" t="n">
        <v>431</v>
      </c>
      <c r="B432" s="7" t="s">
        <v>1025</v>
      </c>
      <c r="C432" s="7" t="s">
        <v>1026</v>
      </c>
      <c r="D432" s="7" t="s">
        <v>1299</v>
      </c>
      <c r="E432" s="8" t="s">
        <v>1300</v>
      </c>
      <c r="F432" s="9" t="s">
        <v>1301</v>
      </c>
      <c r="G432" s="8" t="s">
        <v>1301</v>
      </c>
      <c r="H432" s="13" t="s">
        <v>87</v>
      </c>
      <c r="I432" s="14"/>
      <c r="J432" s="10"/>
      <c r="K432" s="10"/>
      <c r="L432" s="10"/>
      <c r="M432" s="11" t="str">
        <f aca="false">IF(COUNTA(J432:L432)&lt;3,"",IF(COUNTIF(J432:L432,"유지")=3,"채택","제외"))</f>
        <v/>
      </c>
      <c r="N432" s="12"/>
    </row>
    <row r="433" customFormat="false" ht="15" hidden="false" customHeight="false" outlineLevel="0" collapsed="false">
      <c r="A433" s="7" t="n">
        <v>432</v>
      </c>
      <c r="B433" s="7" t="s">
        <v>1025</v>
      </c>
      <c r="C433" s="7" t="s">
        <v>1026</v>
      </c>
      <c r="D433" s="7" t="s">
        <v>1302</v>
      </c>
      <c r="E433" s="8" t="s">
        <v>1303</v>
      </c>
      <c r="F433" s="9" t="s">
        <v>1304</v>
      </c>
      <c r="G433" s="8" t="s">
        <v>1304</v>
      </c>
      <c r="H433" s="15"/>
      <c r="I433" s="15"/>
      <c r="J433" s="10"/>
      <c r="K433" s="10"/>
      <c r="L433" s="10"/>
      <c r="M433" s="11" t="str">
        <f aca="false">IF(COUNTA(J433:L433)&lt;3,"",IF(COUNTIF(J433:L433,"유지")=3,"채택","제외"))</f>
        <v/>
      </c>
      <c r="N433" s="12"/>
    </row>
    <row r="434" customFormat="false" ht="15" hidden="false" customHeight="false" outlineLevel="0" collapsed="false">
      <c r="A434" s="7" t="n">
        <v>433</v>
      </c>
      <c r="B434" s="7" t="s">
        <v>1025</v>
      </c>
      <c r="C434" s="7" t="s">
        <v>1026</v>
      </c>
      <c r="D434" s="7" t="s">
        <v>1305</v>
      </c>
      <c r="E434" s="8" t="s">
        <v>1306</v>
      </c>
      <c r="F434" s="9" t="s">
        <v>1307</v>
      </c>
      <c r="G434" s="8" t="s">
        <v>1308</v>
      </c>
      <c r="H434" s="13" t="s">
        <v>87</v>
      </c>
      <c r="I434" s="14"/>
      <c r="J434" s="10"/>
      <c r="K434" s="10"/>
      <c r="L434" s="10"/>
      <c r="M434" s="11" t="str">
        <f aca="false">IF(COUNTA(J434:L434)&lt;3,"",IF(COUNTIF(J434:L434,"유지")=3,"채택","제외"))</f>
        <v/>
      </c>
      <c r="N434" s="12"/>
    </row>
    <row r="435" customFormat="false" ht="15" hidden="false" customHeight="false" outlineLevel="0" collapsed="false">
      <c r="A435" s="7" t="n">
        <v>434</v>
      </c>
      <c r="B435" s="7" t="s">
        <v>1025</v>
      </c>
      <c r="C435" s="7" t="s">
        <v>1026</v>
      </c>
      <c r="D435" s="7" t="s">
        <v>1309</v>
      </c>
      <c r="E435" s="8" t="s">
        <v>1310</v>
      </c>
      <c r="F435" s="9" t="s">
        <v>1311</v>
      </c>
      <c r="G435" s="8" t="s">
        <v>1312</v>
      </c>
      <c r="H435" s="15"/>
      <c r="I435" s="15"/>
      <c r="J435" s="10"/>
      <c r="K435" s="10"/>
      <c r="L435" s="10"/>
      <c r="M435" s="11" t="str">
        <f aca="false">IF(COUNTA(J435:L435)&lt;3,"",IF(COUNTIF(J435:L435,"유지")=3,"채택","제외"))</f>
        <v/>
      </c>
      <c r="N435" s="12"/>
    </row>
    <row r="436" customFormat="false" ht="15" hidden="false" customHeight="false" outlineLevel="0" collapsed="false">
      <c r="A436" s="7" t="n">
        <v>435</v>
      </c>
      <c r="B436" s="7" t="s">
        <v>1025</v>
      </c>
      <c r="C436" s="7" t="s">
        <v>1026</v>
      </c>
      <c r="D436" s="7" t="s">
        <v>1313</v>
      </c>
      <c r="E436" s="8" t="s">
        <v>1314</v>
      </c>
      <c r="F436" s="9" t="s">
        <v>1315</v>
      </c>
      <c r="G436" s="8" t="s">
        <v>1315</v>
      </c>
      <c r="H436" s="13" t="s">
        <v>87</v>
      </c>
      <c r="I436" s="14" t="s">
        <v>1316</v>
      </c>
      <c r="J436" s="10"/>
      <c r="K436" s="10"/>
      <c r="L436" s="10"/>
      <c r="M436" s="11" t="str">
        <f aca="false">IF(COUNTA(J436:L436)&lt;3,"",IF(COUNTIF(J436:L436,"유지")=3,"채택","제외"))</f>
        <v/>
      </c>
      <c r="N436" s="12"/>
    </row>
    <row r="437" customFormat="false" ht="15" hidden="false" customHeight="false" outlineLevel="0" collapsed="false">
      <c r="A437" s="7" t="n">
        <v>436</v>
      </c>
      <c r="B437" s="7" t="s">
        <v>1025</v>
      </c>
      <c r="C437" s="7" t="s">
        <v>1317</v>
      </c>
      <c r="D437" s="7" t="s">
        <v>1317</v>
      </c>
      <c r="E437" s="8" t="s">
        <v>1318</v>
      </c>
      <c r="F437" s="9" t="s">
        <v>1319</v>
      </c>
      <c r="G437" s="8" t="s">
        <v>1319</v>
      </c>
      <c r="H437" s="15"/>
      <c r="I437" s="15"/>
      <c r="J437" s="10"/>
      <c r="K437" s="10"/>
      <c r="L437" s="10"/>
      <c r="M437" s="11" t="str">
        <f aca="false">IF(COUNTA(J437:L437)&lt;3,"",IF(COUNTIF(J437:L437,"유지")=3,"채택","제외"))</f>
        <v/>
      </c>
      <c r="N437" s="12"/>
    </row>
    <row r="438" customFormat="false" ht="15" hidden="false" customHeight="false" outlineLevel="0" collapsed="false">
      <c r="A438" s="7" t="n">
        <v>437</v>
      </c>
      <c r="B438" s="7" t="s">
        <v>1025</v>
      </c>
      <c r="C438" s="7" t="s">
        <v>1317</v>
      </c>
      <c r="D438" s="7" t="s">
        <v>1320</v>
      </c>
      <c r="E438" s="8" t="s">
        <v>1207</v>
      </c>
      <c r="F438" s="9" t="s">
        <v>1208</v>
      </c>
      <c r="G438" s="8" t="s">
        <v>1208</v>
      </c>
      <c r="H438" s="13" t="s">
        <v>87</v>
      </c>
      <c r="I438" s="14"/>
      <c r="J438" s="10"/>
      <c r="K438" s="10"/>
      <c r="L438" s="10"/>
      <c r="M438" s="11" t="str">
        <f aca="false">IF(COUNTA(J438:L438)&lt;3,"",IF(COUNTIF(J438:L438,"유지")=3,"채택","제외"))</f>
        <v/>
      </c>
      <c r="N438" s="12"/>
    </row>
    <row r="439" customFormat="false" ht="15" hidden="false" customHeight="false" outlineLevel="0" collapsed="false">
      <c r="A439" s="7" t="n">
        <v>438</v>
      </c>
      <c r="B439" s="7" t="s">
        <v>1025</v>
      </c>
      <c r="C439" s="7" t="s">
        <v>1317</v>
      </c>
      <c r="D439" s="7" t="s">
        <v>1321</v>
      </c>
      <c r="E439" s="8" t="s">
        <v>1322</v>
      </c>
      <c r="F439" s="9" t="s">
        <v>1323</v>
      </c>
      <c r="G439" s="8" t="s">
        <v>1323</v>
      </c>
      <c r="H439" s="15"/>
      <c r="I439" s="15"/>
      <c r="J439" s="10"/>
      <c r="K439" s="10"/>
      <c r="L439" s="10"/>
      <c r="M439" s="11" t="str">
        <f aca="false">IF(COUNTA(J439:L439)&lt;3,"",IF(COUNTIF(J439:L439,"유지")=3,"채택","제외"))</f>
        <v/>
      </c>
      <c r="N439" s="12"/>
    </row>
    <row r="440" customFormat="false" ht="15" hidden="false" customHeight="false" outlineLevel="0" collapsed="false">
      <c r="A440" s="7" t="n">
        <v>439</v>
      </c>
      <c r="B440" s="7" t="s">
        <v>1025</v>
      </c>
      <c r="C440" s="7" t="s">
        <v>1317</v>
      </c>
      <c r="D440" s="7" t="s">
        <v>1324</v>
      </c>
      <c r="E440" s="8" t="s">
        <v>1325</v>
      </c>
      <c r="F440" s="9" t="s">
        <v>1326</v>
      </c>
      <c r="G440" s="8" t="s">
        <v>1326</v>
      </c>
      <c r="H440" s="13" t="s">
        <v>87</v>
      </c>
      <c r="I440" s="14"/>
      <c r="J440" s="10"/>
      <c r="K440" s="10"/>
      <c r="L440" s="10"/>
      <c r="M440" s="11" t="str">
        <f aca="false">IF(COUNTA(J440:L440)&lt;3,"",IF(COUNTIF(J440:L440,"유지")=3,"채택","제외"))</f>
        <v/>
      </c>
      <c r="N440" s="12"/>
    </row>
    <row r="441" customFormat="false" ht="15" hidden="false" customHeight="false" outlineLevel="0" collapsed="false">
      <c r="A441" s="7" t="n">
        <v>440</v>
      </c>
      <c r="B441" s="7" t="s">
        <v>1025</v>
      </c>
      <c r="C441" s="7" t="s">
        <v>1317</v>
      </c>
      <c r="D441" s="7" t="s">
        <v>1327</v>
      </c>
      <c r="E441" s="8" t="s">
        <v>1328</v>
      </c>
      <c r="F441" s="9" t="s">
        <v>1329</v>
      </c>
      <c r="G441" s="8" t="s">
        <v>1329</v>
      </c>
      <c r="H441" s="15"/>
      <c r="I441" s="15"/>
      <c r="J441" s="10"/>
      <c r="K441" s="10"/>
      <c r="L441" s="10"/>
      <c r="M441" s="11" t="str">
        <f aca="false">IF(COUNTA(J441:L441)&lt;3,"",IF(COUNTIF(J441:L441,"유지")=3,"채택","제외"))</f>
        <v/>
      </c>
      <c r="N441" s="12"/>
    </row>
    <row r="442" customFormat="false" ht="15" hidden="false" customHeight="false" outlineLevel="0" collapsed="false">
      <c r="A442" s="7" t="n">
        <v>441</v>
      </c>
      <c r="B442" s="7" t="s">
        <v>1025</v>
      </c>
      <c r="C442" s="7" t="s">
        <v>1317</v>
      </c>
      <c r="D442" s="7" t="s">
        <v>1330</v>
      </c>
      <c r="E442" s="8" t="s">
        <v>1306</v>
      </c>
      <c r="F442" s="9" t="s">
        <v>1307</v>
      </c>
      <c r="G442" s="8" t="s">
        <v>1308</v>
      </c>
      <c r="H442" s="13" t="s">
        <v>87</v>
      </c>
      <c r="I442" s="14"/>
      <c r="J442" s="10"/>
      <c r="K442" s="10"/>
      <c r="L442" s="10"/>
      <c r="M442" s="11" t="str">
        <f aca="false">IF(COUNTA(J442:L442)&lt;3,"",IF(COUNTIF(J442:L442,"유지")=3,"채택","제외"))</f>
        <v/>
      </c>
      <c r="N442" s="12"/>
    </row>
    <row r="443" customFormat="false" ht="15" hidden="false" customHeight="false" outlineLevel="0" collapsed="false">
      <c r="A443" s="7" t="n">
        <v>442</v>
      </c>
      <c r="B443" s="7" t="s">
        <v>1025</v>
      </c>
      <c r="C443" s="7" t="s">
        <v>1317</v>
      </c>
      <c r="D443" s="7" t="s">
        <v>1331</v>
      </c>
      <c r="E443" s="8" t="s">
        <v>1332</v>
      </c>
      <c r="F443" s="9" t="s">
        <v>1333</v>
      </c>
      <c r="G443" s="8" t="s">
        <v>1333</v>
      </c>
      <c r="H443" s="15"/>
      <c r="I443" s="15"/>
      <c r="J443" s="10"/>
      <c r="K443" s="10"/>
      <c r="L443" s="10"/>
      <c r="M443" s="11" t="str">
        <f aca="false">IF(COUNTA(J443:L443)&lt;3,"",IF(COUNTIF(J443:L443,"유지")=3,"채택","제외"))</f>
        <v/>
      </c>
      <c r="N443" s="12"/>
    </row>
    <row r="444" customFormat="false" ht="15" hidden="false" customHeight="false" outlineLevel="0" collapsed="false">
      <c r="A444" s="7" t="n">
        <v>443</v>
      </c>
      <c r="B444" s="7" t="s">
        <v>1025</v>
      </c>
      <c r="C444" s="7" t="s">
        <v>1317</v>
      </c>
      <c r="D444" s="7" t="s">
        <v>1334</v>
      </c>
      <c r="E444" s="8" t="s">
        <v>1335</v>
      </c>
      <c r="F444" s="9" t="s">
        <v>1336</v>
      </c>
      <c r="G444" s="8" t="s">
        <v>1336</v>
      </c>
      <c r="H444" s="15"/>
      <c r="I444" s="15"/>
      <c r="J444" s="10"/>
      <c r="K444" s="10"/>
      <c r="L444" s="10"/>
      <c r="M444" s="11" t="str">
        <f aca="false">IF(COUNTA(J444:L444)&lt;3,"",IF(COUNTIF(J444:L444,"유지")=3,"채택","제외"))</f>
        <v/>
      </c>
      <c r="N444" s="12"/>
    </row>
    <row r="445" customFormat="false" ht="15" hidden="false" customHeight="false" outlineLevel="0" collapsed="false">
      <c r="A445" s="7" t="n">
        <v>444</v>
      </c>
      <c r="B445" s="7" t="s">
        <v>1025</v>
      </c>
      <c r="C445" s="7" t="s">
        <v>1317</v>
      </c>
      <c r="D445" s="7" t="s">
        <v>1337</v>
      </c>
      <c r="E445" s="8" t="s">
        <v>1234</v>
      </c>
      <c r="F445" s="9" t="s">
        <v>1235</v>
      </c>
      <c r="G445" s="8" t="s">
        <v>1235</v>
      </c>
      <c r="H445" s="13" t="s">
        <v>1204</v>
      </c>
      <c r="I445" s="14"/>
      <c r="J445" s="10"/>
      <c r="K445" s="10"/>
      <c r="L445" s="10"/>
      <c r="M445" s="11" t="str">
        <f aca="false">IF(COUNTA(J445:L445)&lt;3,"",IF(COUNTIF(J445:L445,"유지")=3,"채택","제외"))</f>
        <v/>
      </c>
      <c r="N445" s="12"/>
    </row>
    <row r="446" customFormat="false" ht="15" hidden="false" customHeight="false" outlineLevel="0" collapsed="false">
      <c r="A446" s="7" t="n">
        <v>445</v>
      </c>
      <c r="B446" s="7" t="s">
        <v>1025</v>
      </c>
      <c r="C446" s="7" t="s">
        <v>1317</v>
      </c>
      <c r="D446" s="7" t="s">
        <v>1338</v>
      </c>
      <c r="E446" s="8" t="s">
        <v>1339</v>
      </c>
      <c r="F446" s="9" t="s">
        <v>1340</v>
      </c>
      <c r="G446" s="8" t="s">
        <v>1340</v>
      </c>
      <c r="H446" s="15"/>
      <c r="I446" s="15"/>
      <c r="J446" s="10"/>
      <c r="K446" s="10"/>
      <c r="L446" s="10"/>
      <c r="M446" s="11" t="str">
        <f aca="false">IF(COUNTA(J446:L446)&lt;3,"",IF(COUNTIF(J446:L446,"유지")=3,"채택","제외"))</f>
        <v/>
      </c>
      <c r="N446" s="12"/>
    </row>
    <row r="447" customFormat="false" ht="15" hidden="false" customHeight="false" outlineLevel="0" collapsed="false">
      <c r="A447" s="7" t="n">
        <v>446</v>
      </c>
      <c r="B447" s="7" t="s">
        <v>1025</v>
      </c>
      <c r="C447" s="7" t="s">
        <v>1317</v>
      </c>
      <c r="D447" s="7" t="s">
        <v>1341</v>
      </c>
      <c r="E447" s="8" t="s">
        <v>1062</v>
      </c>
      <c r="F447" s="9" t="s">
        <v>1063</v>
      </c>
      <c r="G447" s="8" t="s">
        <v>1063</v>
      </c>
      <c r="H447" s="13" t="s">
        <v>87</v>
      </c>
      <c r="I447" s="14"/>
      <c r="J447" s="10"/>
      <c r="K447" s="10"/>
      <c r="L447" s="10"/>
      <c r="M447" s="11" t="str">
        <f aca="false">IF(COUNTA(J447:L447)&lt;3,"",IF(COUNTIF(J447:L447,"유지")=3,"채택","제외"))</f>
        <v/>
      </c>
      <c r="N447" s="12"/>
    </row>
    <row r="448" customFormat="false" ht="15" hidden="false" customHeight="false" outlineLevel="0" collapsed="false">
      <c r="A448" s="7" t="n">
        <v>447</v>
      </c>
      <c r="B448" s="7" t="s">
        <v>1025</v>
      </c>
      <c r="C448" s="7" t="s">
        <v>1317</v>
      </c>
      <c r="D448" s="7" t="s">
        <v>1342</v>
      </c>
      <c r="E448" s="8" t="s">
        <v>1343</v>
      </c>
      <c r="F448" s="9" t="s">
        <v>1344</v>
      </c>
      <c r="G448" s="8" t="s">
        <v>1344</v>
      </c>
      <c r="H448" s="15"/>
      <c r="I448" s="15"/>
      <c r="J448" s="10"/>
      <c r="K448" s="10"/>
      <c r="L448" s="10"/>
      <c r="M448" s="11" t="str">
        <f aca="false">IF(COUNTA(J448:L448)&lt;3,"",IF(COUNTIF(J448:L448,"유지")=3,"채택","제외"))</f>
        <v/>
      </c>
      <c r="N448" s="12"/>
    </row>
    <row r="449" customFormat="false" ht="15" hidden="false" customHeight="false" outlineLevel="0" collapsed="false">
      <c r="A449" s="7" t="n">
        <v>448</v>
      </c>
      <c r="B449" s="7" t="s">
        <v>1025</v>
      </c>
      <c r="C449" s="7" t="s">
        <v>1317</v>
      </c>
      <c r="D449" s="7" t="s">
        <v>1345</v>
      </c>
      <c r="E449" s="8" t="s">
        <v>1346</v>
      </c>
      <c r="F449" s="9" t="s">
        <v>1347</v>
      </c>
      <c r="G449" s="8" t="s">
        <v>1347</v>
      </c>
      <c r="H449" s="15"/>
      <c r="I449" s="15"/>
      <c r="J449" s="10"/>
      <c r="K449" s="10"/>
      <c r="L449" s="10"/>
      <c r="M449" s="11" t="str">
        <f aca="false">IF(COUNTA(J449:L449)&lt;3,"",IF(COUNTIF(J449:L449,"유지")=3,"채택","제외"))</f>
        <v/>
      </c>
      <c r="N449" s="12"/>
    </row>
    <row r="450" customFormat="false" ht="15" hidden="false" customHeight="false" outlineLevel="0" collapsed="false">
      <c r="A450" s="7" t="n">
        <v>449</v>
      </c>
      <c r="B450" s="7" t="s">
        <v>1025</v>
      </c>
      <c r="C450" s="7" t="s">
        <v>1317</v>
      </c>
      <c r="D450" s="7" t="s">
        <v>1348</v>
      </c>
      <c r="E450" s="8" t="s">
        <v>1349</v>
      </c>
      <c r="F450" s="9" t="s">
        <v>1350</v>
      </c>
      <c r="G450" s="8" t="s">
        <v>1351</v>
      </c>
      <c r="H450" s="13" t="s">
        <v>1044</v>
      </c>
      <c r="I450" s="14"/>
      <c r="J450" s="10"/>
      <c r="K450" s="10"/>
      <c r="L450" s="10"/>
      <c r="M450" s="11" t="str">
        <f aca="false">IF(COUNTA(J450:L450)&lt;3,"",IF(COUNTIF(J450:L450,"유지")=3,"채택","제외"))</f>
        <v/>
      </c>
      <c r="N450" s="12"/>
    </row>
    <row r="451" customFormat="false" ht="15" hidden="false" customHeight="false" outlineLevel="0" collapsed="false">
      <c r="A451" s="7" t="n">
        <v>450</v>
      </c>
      <c r="B451" s="7" t="s">
        <v>1025</v>
      </c>
      <c r="C451" s="7" t="s">
        <v>1317</v>
      </c>
      <c r="D451" s="7" t="s">
        <v>1352</v>
      </c>
      <c r="E451" s="8" t="s">
        <v>1353</v>
      </c>
      <c r="F451" s="9" t="s">
        <v>1354</v>
      </c>
      <c r="G451" s="8" t="s">
        <v>1355</v>
      </c>
      <c r="H451" s="13" t="s">
        <v>87</v>
      </c>
      <c r="I451" s="14"/>
      <c r="J451" s="10"/>
      <c r="K451" s="10"/>
      <c r="L451" s="10"/>
      <c r="M451" s="11" t="str">
        <f aca="false">IF(COUNTA(J451:L451)&lt;3,"",IF(COUNTIF(J451:L451,"유지")=3,"채택","제외"))</f>
        <v/>
      </c>
      <c r="N451" s="12"/>
    </row>
    <row r="452" customFormat="false" ht="15" hidden="false" customHeight="false" outlineLevel="0" collapsed="false">
      <c r="A452" s="7" t="n">
        <v>451</v>
      </c>
      <c r="B452" s="7" t="s">
        <v>1025</v>
      </c>
      <c r="C452" s="7" t="s">
        <v>1317</v>
      </c>
      <c r="D452" s="7" t="s">
        <v>1356</v>
      </c>
      <c r="E452" s="8" t="s">
        <v>1353</v>
      </c>
      <c r="F452" s="9" t="s">
        <v>1354</v>
      </c>
      <c r="G452" s="8" t="s">
        <v>1355</v>
      </c>
      <c r="H452" s="13" t="s">
        <v>87</v>
      </c>
      <c r="I452" s="14"/>
      <c r="J452" s="10"/>
      <c r="K452" s="10"/>
      <c r="L452" s="10"/>
      <c r="M452" s="11" t="str">
        <f aca="false">IF(COUNTA(J452:L452)&lt;3,"",IF(COUNTIF(J452:L452,"유지")=3,"채택","제외"))</f>
        <v/>
      </c>
      <c r="N452" s="12"/>
    </row>
    <row r="453" customFormat="false" ht="15" hidden="false" customHeight="false" outlineLevel="0" collapsed="false">
      <c r="A453" s="7" t="n">
        <v>452</v>
      </c>
      <c r="B453" s="7" t="s">
        <v>1025</v>
      </c>
      <c r="C453" s="7" t="s">
        <v>1317</v>
      </c>
      <c r="D453" s="7" t="s">
        <v>1357</v>
      </c>
      <c r="E453" s="8" t="s">
        <v>1358</v>
      </c>
      <c r="F453" s="9" t="s">
        <v>1359</v>
      </c>
      <c r="G453" s="8" t="s">
        <v>1359</v>
      </c>
      <c r="H453" s="15"/>
      <c r="I453" s="15"/>
      <c r="J453" s="10"/>
      <c r="K453" s="10"/>
      <c r="L453" s="10"/>
      <c r="M453" s="11" t="str">
        <f aca="false">IF(COUNTA(J453:L453)&lt;3,"",IF(COUNTIF(J453:L453,"유지")=3,"채택","제외"))</f>
        <v/>
      </c>
      <c r="N453" s="12"/>
    </row>
    <row r="454" customFormat="false" ht="15" hidden="false" customHeight="false" outlineLevel="0" collapsed="false">
      <c r="A454" s="7" t="n">
        <v>453</v>
      </c>
      <c r="B454" s="7" t="s">
        <v>1025</v>
      </c>
      <c r="C454" s="7" t="s">
        <v>1317</v>
      </c>
      <c r="D454" s="7" t="s">
        <v>1360</v>
      </c>
      <c r="E454" s="8" t="s">
        <v>1361</v>
      </c>
      <c r="F454" s="9" t="s">
        <v>1362</v>
      </c>
      <c r="G454" s="8" t="s">
        <v>1362</v>
      </c>
      <c r="H454" s="15"/>
      <c r="I454" s="15"/>
      <c r="J454" s="10"/>
      <c r="K454" s="10"/>
      <c r="L454" s="10"/>
      <c r="M454" s="11" t="str">
        <f aca="false">IF(COUNTA(J454:L454)&lt;3,"",IF(COUNTIF(J454:L454,"유지")=3,"채택","제외"))</f>
        <v/>
      </c>
      <c r="N454" s="12"/>
    </row>
    <row r="455" customFormat="false" ht="15" hidden="false" customHeight="false" outlineLevel="0" collapsed="false">
      <c r="A455" s="7" t="n">
        <v>454</v>
      </c>
      <c r="B455" s="7" t="s">
        <v>1025</v>
      </c>
      <c r="C455" s="7" t="s">
        <v>1317</v>
      </c>
      <c r="D455" s="7" t="s">
        <v>1363</v>
      </c>
      <c r="E455" s="8" t="s">
        <v>1364</v>
      </c>
      <c r="F455" s="9" t="s">
        <v>1365</v>
      </c>
      <c r="G455" s="8" t="s">
        <v>1365</v>
      </c>
      <c r="H455" s="15"/>
      <c r="I455" s="15"/>
      <c r="J455" s="10"/>
      <c r="K455" s="10"/>
      <c r="L455" s="10"/>
      <c r="M455" s="11" t="str">
        <f aca="false">IF(COUNTA(J455:L455)&lt;3,"",IF(COUNTIF(J455:L455,"유지")=3,"채택","제외"))</f>
        <v/>
      </c>
      <c r="N455" s="12"/>
    </row>
    <row r="456" customFormat="false" ht="15" hidden="false" customHeight="false" outlineLevel="0" collapsed="false">
      <c r="A456" s="7" t="n">
        <v>455</v>
      </c>
      <c r="B456" s="7" t="s">
        <v>1025</v>
      </c>
      <c r="C456" s="7" t="s">
        <v>1317</v>
      </c>
      <c r="D456" s="7" t="s">
        <v>1366</v>
      </c>
      <c r="E456" s="8" t="s">
        <v>1325</v>
      </c>
      <c r="F456" s="9" t="s">
        <v>1326</v>
      </c>
      <c r="G456" s="8" t="s">
        <v>1326</v>
      </c>
      <c r="H456" s="13" t="s">
        <v>87</v>
      </c>
      <c r="I456" s="14"/>
      <c r="J456" s="10"/>
      <c r="K456" s="10"/>
      <c r="L456" s="10"/>
      <c r="M456" s="11" t="str">
        <f aca="false">IF(COUNTA(J456:L456)&lt;3,"",IF(COUNTIF(J456:L456,"유지")=3,"채택","제외"))</f>
        <v/>
      </c>
      <c r="N456" s="12"/>
    </row>
    <row r="457" customFormat="false" ht="15" hidden="false" customHeight="false" outlineLevel="0" collapsed="false">
      <c r="A457" s="7" t="n">
        <v>456</v>
      </c>
      <c r="B457" s="7" t="s">
        <v>1025</v>
      </c>
      <c r="C457" s="7" t="s">
        <v>1317</v>
      </c>
      <c r="D457" s="7" t="s">
        <v>1367</v>
      </c>
      <c r="E457" s="8" t="s">
        <v>1368</v>
      </c>
      <c r="F457" s="9" t="s">
        <v>1369</v>
      </c>
      <c r="G457" s="8" t="s">
        <v>1369</v>
      </c>
      <c r="H457" s="15"/>
      <c r="I457" s="15"/>
      <c r="J457" s="10"/>
      <c r="K457" s="10"/>
      <c r="L457" s="10"/>
      <c r="M457" s="11" t="str">
        <f aca="false">IF(COUNTA(J457:L457)&lt;3,"",IF(COUNTIF(J457:L457,"유지")=3,"채택","제외"))</f>
        <v/>
      </c>
      <c r="N457" s="12"/>
    </row>
    <row r="458" customFormat="false" ht="15" hidden="false" customHeight="false" outlineLevel="0" collapsed="false">
      <c r="A458" s="7" t="n">
        <v>457</v>
      </c>
      <c r="B458" s="7" t="s">
        <v>1025</v>
      </c>
      <c r="C458" s="7" t="s">
        <v>1317</v>
      </c>
      <c r="D458" s="7" t="s">
        <v>1370</v>
      </c>
      <c r="E458" s="8" t="s">
        <v>1371</v>
      </c>
      <c r="F458" s="9" t="s">
        <v>1372</v>
      </c>
      <c r="G458" s="8" t="s">
        <v>1373</v>
      </c>
      <c r="H458" s="15"/>
      <c r="I458" s="15"/>
      <c r="J458" s="10"/>
      <c r="K458" s="10"/>
      <c r="L458" s="10"/>
      <c r="M458" s="11" t="str">
        <f aca="false">IF(COUNTA(J458:L458)&lt;3,"",IF(COUNTIF(J458:L458,"유지")=3,"채택","제외"))</f>
        <v/>
      </c>
      <c r="N458" s="12"/>
    </row>
    <row r="459" customFormat="false" ht="15" hidden="false" customHeight="false" outlineLevel="0" collapsed="false">
      <c r="A459" s="7" t="n">
        <v>458</v>
      </c>
      <c r="B459" s="7" t="s">
        <v>1025</v>
      </c>
      <c r="C459" s="7" t="s">
        <v>1374</v>
      </c>
      <c r="D459" s="7" t="s">
        <v>1374</v>
      </c>
      <c r="E459" s="8" t="s">
        <v>1375</v>
      </c>
      <c r="F459" s="9" t="s">
        <v>1376</v>
      </c>
      <c r="G459" s="8" t="s">
        <v>1376</v>
      </c>
      <c r="H459" s="13" t="s">
        <v>87</v>
      </c>
      <c r="I459" s="14"/>
      <c r="J459" s="10"/>
      <c r="K459" s="10"/>
      <c r="L459" s="10"/>
      <c r="M459" s="11" t="str">
        <f aca="false">IF(COUNTA(J459:L459)&lt;3,"",IF(COUNTIF(J459:L459,"유지")=3,"채택","제외"))</f>
        <v/>
      </c>
      <c r="N459" s="12"/>
    </row>
    <row r="460" customFormat="false" ht="15" hidden="false" customHeight="false" outlineLevel="0" collapsed="false">
      <c r="A460" s="7" t="n">
        <v>459</v>
      </c>
      <c r="B460" s="7" t="s">
        <v>1025</v>
      </c>
      <c r="C460" s="7" t="s">
        <v>1374</v>
      </c>
      <c r="D460" s="7" t="s">
        <v>1377</v>
      </c>
      <c r="E460" s="8" t="s">
        <v>1378</v>
      </c>
      <c r="F460" s="9" t="s">
        <v>1379</v>
      </c>
      <c r="G460" s="8" t="s">
        <v>1379</v>
      </c>
      <c r="H460" s="15"/>
      <c r="I460" s="15"/>
      <c r="J460" s="10"/>
      <c r="K460" s="10"/>
      <c r="L460" s="10"/>
      <c r="M460" s="11" t="str">
        <f aca="false">IF(COUNTA(J460:L460)&lt;3,"",IF(COUNTIF(J460:L460,"유지")=3,"채택","제외"))</f>
        <v/>
      </c>
      <c r="N460" s="12"/>
    </row>
    <row r="461" customFormat="false" ht="15" hidden="false" customHeight="false" outlineLevel="0" collapsed="false">
      <c r="A461" s="7" t="n">
        <v>460</v>
      </c>
      <c r="B461" s="7" t="s">
        <v>1025</v>
      </c>
      <c r="C461" s="7" t="s">
        <v>1374</v>
      </c>
      <c r="D461" s="7" t="s">
        <v>1380</v>
      </c>
      <c r="E461" s="8" t="s">
        <v>1381</v>
      </c>
      <c r="F461" s="9" t="s">
        <v>1382</v>
      </c>
      <c r="G461" s="8" t="s">
        <v>1382</v>
      </c>
      <c r="H461" s="13" t="s">
        <v>87</v>
      </c>
      <c r="I461" s="14"/>
      <c r="J461" s="10"/>
      <c r="K461" s="10"/>
      <c r="L461" s="10"/>
      <c r="M461" s="11" t="str">
        <f aca="false">IF(COUNTA(J461:L461)&lt;3,"",IF(COUNTIF(J461:L461,"유지")=3,"채택","제외"))</f>
        <v/>
      </c>
      <c r="N461" s="12"/>
    </row>
    <row r="462" customFormat="false" ht="15" hidden="false" customHeight="false" outlineLevel="0" collapsed="false">
      <c r="A462" s="7" t="n">
        <v>461</v>
      </c>
      <c r="B462" s="7" t="s">
        <v>1025</v>
      </c>
      <c r="C462" s="7" t="s">
        <v>1374</v>
      </c>
      <c r="D462" s="7" t="s">
        <v>1383</v>
      </c>
      <c r="E462" s="8" t="s">
        <v>1384</v>
      </c>
      <c r="F462" s="9" t="s">
        <v>1385</v>
      </c>
      <c r="G462" s="8" t="s">
        <v>1385</v>
      </c>
      <c r="H462" s="15"/>
      <c r="I462" s="15"/>
      <c r="J462" s="10"/>
      <c r="K462" s="10"/>
      <c r="L462" s="10"/>
      <c r="M462" s="11" t="str">
        <f aca="false">IF(COUNTA(J462:L462)&lt;3,"",IF(COUNTIF(J462:L462,"유지")=3,"채택","제외"))</f>
        <v/>
      </c>
      <c r="N462" s="12"/>
    </row>
    <row r="463" customFormat="false" ht="15" hidden="false" customHeight="false" outlineLevel="0" collapsed="false">
      <c r="A463" s="7" t="n">
        <v>462</v>
      </c>
      <c r="B463" s="7" t="s">
        <v>1025</v>
      </c>
      <c r="C463" s="7" t="s">
        <v>1374</v>
      </c>
      <c r="D463" s="7" t="s">
        <v>1386</v>
      </c>
      <c r="E463" s="8" t="s">
        <v>1387</v>
      </c>
      <c r="F463" s="9" t="s">
        <v>1388</v>
      </c>
      <c r="G463" s="8" t="s">
        <v>1388</v>
      </c>
      <c r="H463" s="13" t="s">
        <v>87</v>
      </c>
      <c r="I463" s="14"/>
      <c r="J463" s="10"/>
      <c r="K463" s="10"/>
      <c r="L463" s="10"/>
      <c r="M463" s="11" t="str">
        <f aca="false">IF(COUNTA(J463:L463)&lt;3,"",IF(COUNTIF(J463:L463,"유지")=3,"채택","제외"))</f>
        <v/>
      </c>
      <c r="N463" s="12"/>
    </row>
    <row r="464" customFormat="false" ht="15" hidden="false" customHeight="false" outlineLevel="0" collapsed="false">
      <c r="A464" s="7" t="n">
        <v>463</v>
      </c>
      <c r="B464" s="7" t="s">
        <v>1025</v>
      </c>
      <c r="C464" s="7" t="s">
        <v>1374</v>
      </c>
      <c r="D464" s="7" t="s">
        <v>1389</v>
      </c>
      <c r="E464" s="8" t="s">
        <v>1390</v>
      </c>
      <c r="F464" s="9" t="s">
        <v>1391</v>
      </c>
      <c r="G464" s="8" t="s">
        <v>1391</v>
      </c>
      <c r="H464" s="15"/>
      <c r="I464" s="15"/>
      <c r="J464" s="10"/>
      <c r="K464" s="10"/>
      <c r="L464" s="10"/>
      <c r="M464" s="11" t="str">
        <f aca="false">IF(COUNTA(J464:L464)&lt;3,"",IF(COUNTIF(J464:L464,"유지")=3,"채택","제외"))</f>
        <v/>
      </c>
      <c r="N464" s="12"/>
    </row>
    <row r="465" customFormat="false" ht="15" hidden="false" customHeight="false" outlineLevel="0" collapsed="false">
      <c r="A465" s="7" t="n">
        <v>464</v>
      </c>
      <c r="B465" s="7" t="s">
        <v>1025</v>
      </c>
      <c r="C465" s="7" t="s">
        <v>1374</v>
      </c>
      <c r="D465" s="7" t="s">
        <v>1392</v>
      </c>
      <c r="E465" s="8" t="s">
        <v>1393</v>
      </c>
      <c r="F465" s="9" t="s">
        <v>1394</v>
      </c>
      <c r="G465" s="8" t="s">
        <v>1394</v>
      </c>
      <c r="H465" s="15"/>
      <c r="I465" s="15"/>
      <c r="J465" s="10"/>
      <c r="K465" s="10"/>
      <c r="L465" s="10"/>
      <c r="M465" s="11" t="str">
        <f aca="false">IF(COUNTA(J465:L465)&lt;3,"",IF(COUNTIF(J465:L465,"유지")=3,"채택","제외"))</f>
        <v/>
      </c>
      <c r="N465" s="12"/>
    </row>
    <row r="466" customFormat="false" ht="15" hidden="false" customHeight="false" outlineLevel="0" collapsed="false">
      <c r="A466" s="7" t="n">
        <v>465</v>
      </c>
      <c r="B466" s="7" t="s">
        <v>1025</v>
      </c>
      <c r="C466" s="7" t="s">
        <v>1374</v>
      </c>
      <c r="D466" s="7" t="s">
        <v>1395</v>
      </c>
      <c r="E466" s="8" t="s">
        <v>1396</v>
      </c>
      <c r="F466" s="9" t="s">
        <v>1397</v>
      </c>
      <c r="G466" s="8" t="s">
        <v>1397</v>
      </c>
      <c r="H466" s="13" t="s">
        <v>87</v>
      </c>
      <c r="I466" s="14"/>
      <c r="J466" s="10"/>
      <c r="K466" s="10"/>
      <c r="L466" s="10"/>
      <c r="M466" s="11" t="str">
        <f aca="false">IF(COUNTA(J466:L466)&lt;3,"",IF(COUNTIF(J466:L466,"유지")=3,"채택","제외"))</f>
        <v/>
      </c>
      <c r="N466" s="12"/>
    </row>
    <row r="467" customFormat="false" ht="15" hidden="false" customHeight="false" outlineLevel="0" collapsed="false">
      <c r="A467" s="7" t="n">
        <v>466</v>
      </c>
      <c r="B467" s="7" t="s">
        <v>1025</v>
      </c>
      <c r="C467" s="7" t="s">
        <v>1374</v>
      </c>
      <c r="D467" s="7" t="s">
        <v>1398</v>
      </c>
      <c r="E467" s="8" t="s">
        <v>1381</v>
      </c>
      <c r="F467" s="9" t="s">
        <v>1382</v>
      </c>
      <c r="G467" s="8" t="s">
        <v>1382</v>
      </c>
      <c r="H467" s="13" t="s">
        <v>87</v>
      </c>
      <c r="I467" s="14"/>
      <c r="J467" s="10"/>
      <c r="K467" s="10"/>
      <c r="L467" s="10"/>
      <c r="M467" s="11" t="str">
        <f aca="false">IF(COUNTA(J467:L467)&lt;3,"",IF(COUNTIF(J467:L467,"유지")=3,"채택","제외"))</f>
        <v/>
      </c>
      <c r="N467" s="12"/>
    </row>
    <row r="468" customFormat="false" ht="15" hidden="false" customHeight="false" outlineLevel="0" collapsed="false">
      <c r="A468" s="7" t="n">
        <v>467</v>
      </c>
      <c r="B468" s="7" t="s">
        <v>1025</v>
      </c>
      <c r="C468" s="7" t="s">
        <v>1374</v>
      </c>
      <c r="D468" s="7" t="s">
        <v>1399</v>
      </c>
      <c r="E468" s="8" t="s">
        <v>1228</v>
      </c>
      <c r="F468" s="9" t="s">
        <v>1229</v>
      </c>
      <c r="G468" s="8" t="s">
        <v>1229</v>
      </c>
      <c r="H468" s="13" t="s">
        <v>87</v>
      </c>
      <c r="I468" s="14"/>
      <c r="J468" s="10"/>
      <c r="K468" s="10"/>
      <c r="L468" s="10"/>
      <c r="M468" s="11" t="str">
        <f aca="false">IF(COUNTA(J468:L468)&lt;3,"",IF(COUNTIF(J468:L468,"유지")=3,"채택","제외"))</f>
        <v/>
      </c>
      <c r="N468" s="12"/>
    </row>
    <row r="469" customFormat="false" ht="15" hidden="false" customHeight="false" outlineLevel="0" collapsed="false">
      <c r="A469" s="7" t="n">
        <v>468</v>
      </c>
      <c r="B469" s="7" t="s">
        <v>1025</v>
      </c>
      <c r="C469" s="7" t="s">
        <v>1374</v>
      </c>
      <c r="D469" s="7" t="s">
        <v>1400</v>
      </c>
      <c r="E469" s="8" t="s">
        <v>1401</v>
      </c>
      <c r="F469" s="9" t="s">
        <v>1402</v>
      </c>
      <c r="G469" s="8" t="s">
        <v>1133</v>
      </c>
      <c r="H469" s="13" t="s">
        <v>87</v>
      </c>
      <c r="I469" s="14"/>
      <c r="J469" s="10"/>
      <c r="K469" s="10"/>
      <c r="L469" s="10"/>
      <c r="M469" s="11" t="str">
        <f aca="false">IF(COUNTA(J469:L469)&lt;3,"",IF(COUNTIF(J469:L469,"유지")=3,"채택","제외"))</f>
        <v/>
      </c>
      <c r="N469" s="12"/>
    </row>
    <row r="470" customFormat="false" ht="15" hidden="false" customHeight="false" outlineLevel="0" collapsed="false">
      <c r="A470" s="7" t="n">
        <v>469</v>
      </c>
      <c r="B470" s="7" t="s">
        <v>1025</v>
      </c>
      <c r="C470" s="7" t="s">
        <v>1374</v>
      </c>
      <c r="D470" s="7" t="s">
        <v>1403</v>
      </c>
      <c r="E470" s="8" t="s">
        <v>1404</v>
      </c>
      <c r="F470" s="9" t="s">
        <v>1405</v>
      </c>
      <c r="G470" s="8" t="s">
        <v>1405</v>
      </c>
      <c r="H470" s="15"/>
      <c r="I470" s="15"/>
      <c r="J470" s="10"/>
      <c r="K470" s="10"/>
      <c r="L470" s="10"/>
      <c r="M470" s="11" t="str">
        <f aca="false">IF(COUNTA(J470:L470)&lt;3,"",IF(COUNTIF(J470:L470,"유지")=3,"채택","제외"))</f>
        <v/>
      </c>
      <c r="N470" s="12"/>
    </row>
    <row r="471" customFormat="false" ht="15" hidden="false" customHeight="false" outlineLevel="0" collapsed="false">
      <c r="A471" s="7" t="n">
        <v>470</v>
      </c>
      <c r="B471" s="7" t="s">
        <v>1025</v>
      </c>
      <c r="C471" s="7" t="s">
        <v>1374</v>
      </c>
      <c r="D471" s="7" t="s">
        <v>1406</v>
      </c>
      <c r="E471" s="8" t="s">
        <v>1407</v>
      </c>
      <c r="F471" s="9" t="s">
        <v>1408</v>
      </c>
      <c r="G471" s="8" t="s">
        <v>1409</v>
      </c>
      <c r="H471" s="13" t="s">
        <v>74</v>
      </c>
      <c r="I471" s="14"/>
      <c r="J471" s="10"/>
      <c r="K471" s="10"/>
      <c r="L471" s="10"/>
      <c r="M471" s="11" t="str">
        <f aca="false">IF(COUNTA(J471:L471)&lt;3,"",IF(COUNTIF(J471:L471,"유지")=3,"채택","제외"))</f>
        <v/>
      </c>
      <c r="N471" s="12"/>
    </row>
    <row r="472" customFormat="false" ht="15" hidden="false" customHeight="false" outlineLevel="0" collapsed="false">
      <c r="A472" s="7" t="n">
        <v>471</v>
      </c>
      <c r="B472" s="7" t="s">
        <v>1025</v>
      </c>
      <c r="C472" s="7" t="s">
        <v>1374</v>
      </c>
      <c r="D472" s="7" t="s">
        <v>1410</v>
      </c>
      <c r="E472" s="8" t="s">
        <v>1411</v>
      </c>
      <c r="F472" s="9" t="s">
        <v>1412</v>
      </c>
      <c r="G472" s="8" t="s">
        <v>1412</v>
      </c>
      <c r="H472" s="15"/>
      <c r="I472" s="15"/>
      <c r="J472" s="10"/>
      <c r="K472" s="10"/>
      <c r="L472" s="10"/>
      <c r="M472" s="11" t="str">
        <f aca="false">IF(COUNTA(J472:L472)&lt;3,"",IF(COUNTIF(J472:L472,"유지")=3,"채택","제외"))</f>
        <v/>
      </c>
      <c r="N472" s="12"/>
    </row>
    <row r="473" customFormat="false" ht="15" hidden="false" customHeight="false" outlineLevel="0" collapsed="false">
      <c r="A473" s="7" t="n">
        <v>472</v>
      </c>
      <c r="B473" s="7" t="s">
        <v>1025</v>
      </c>
      <c r="C473" s="7" t="s">
        <v>1374</v>
      </c>
      <c r="D473" s="7" t="s">
        <v>1413</v>
      </c>
      <c r="E473" s="8" t="s">
        <v>1414</v>
      </c>
      <c r="F473" s="9" t="s">
        <v>1415</v>
      </c>
      <c r="G473" s="8" t="s">
        <v>1415</v>
      </c>
      <c r="H473" s="15"/>
      <c r="I473" s="15"/>
      <c r="J473" s="10"/>
      <c r="K473" s="10"/>
      <c r="L473" s="10"/>
      <c r="M473" s="11" t="str">
        <f aca="false">IF(COUNTA(J473:L473)&lt;3,"",IF(COUNTIF(J473:L473,"유지")=3,"채택","제외"))</f>
        <v/>
      </c>
      <c r="N473" s="12"/>
    </row>
    <row r="474" customFormat="false" ht="15" hidden="false" customHeight="false" outlineLevel="0" collapsed="false">
      <c r="A474" s="7" t="n">
        <v>473</v>
      </c>
      <c r="B474" s="7" t="s">
        <v>1025</v>
      </c>
      <c r="C474" s="7" t="s">
        <v>1374</v>
      </c>
      <c r="D474" s="7" t="s">
        <v>1416</v>
      </c>
      <c r="E474" s="8" t="s">
        <v>1417</v>
      </c>
      <c r="F474" s="9" t="s">
        <v>1418</v>
      </c>
      <c r="G474" s="8" t="s">
        <v>1418</v>
      </c>
      <c r="H474" s="15"/>
      <c r="I474" s="15"/>
      <c r="J474" s="10"/>
      <c r="K474" s="10"/>
      <c r="L474" s="10"/>
      <c r="M474" s="11" t="str">
        <f aca="false">IF(COUNTA(J474:L474)&lt;3,"",IF(COUNTIF(J474:L474,"유지")=3,"채택","제외"))</f>
        <v/>
      </c>
      <c r="N474" s="12"/>
    </row>
    <row r="475" customFormat="false" ht="15" hidden="false" customHeight="false" outlineLevel="0" collapsed="false">
      <c r="A475" s="7" t="n">
        <v>474</v>
      </c>
      <c r="B475" s="7" t="s">
        <v>1025</v>
      </c>
      <c r="C475" s="7" t="s">
        <v>1374</v>
      </c>
      <c r="D475" s="7" t="s">
        <v>1419</v>
      </c>
      <c r="E475" s="8" t="s">
        <v>1420</v>
      </c>
      <c r="F475" s="9" t="s">
        <v>1421</v>
      </c>
      <c r="G475" s="8" t="s">
        <v>1422</v>
      </c>
      <c r="H475" s="13" t="s">
        <v>74</v>
      </c>
      <c r="I475" s="14"/>
      <c r="J475" s="10"/>
      <c r="K475" s="10"/>
      <c r="L475" s="10"/>
      <c r="M475" s="11" t="str">
        <f aca="false">IF(COUNTA(J475:L475)&lt;3,"",IF(COUNTIF(J475:L475,"유지")=3,"채택","제외"))</f>
        <v/>
      </c>
      <c r="N475" s="12"/>
    </row>
    <row r="476" customFormat="false" ht="15" hidden="false" customHeight="false" outlineLevel="0" collapsed="false">
      <c r="A476" s="7" t="n">
        <v>475</v>
      </c>
      <c r="B476" s="7" t="s">
        <v>1025</v>
      </c>
      <c r="C476" s="7" t="s">
        <v>1374</v>
      </c>
      <c r="D476" s="7" t="s">
        <v>1423</v>
      </c>
      <c r="E476" s="8" t="s">
        <v>1424</v>
      </c>
      <c r="F476" s="9" t="s">
        <v>1425</v>
      </c>
      <c r="G476" s="8" t="s">
        <v>1425</v>
      </c>
      <c r="H476" s="15"/>
      <c r="I476" s="15"/>
      <c r="J476" s="10"/>
      <c r="K476" s="10"/>
      <c r="L476" s="10"/>
      <c r="M476" s="11" t="str">
        <f aca="false">IF(COUNTA(J476:L476)&lt;3,"",IF(COUNTIF(J476:L476,"유지")=3,"채택","제외"))</f>
        <v/>
      </c>
      <c r="N476" s="12"/>
    </row>
    <row r="477" customFormat="false" ht="15" hidden="false" customHeight="false" outlineLevel="0" collapsed="false">
      <c r="A477" s="7" t="n">
        <v>476</v>
      </c>
      <c r="B477" s="7" t="s">
        <v>1025</v>
      </c>
      <c r="C477" s="7" t="s">
        <v>1374</v>
      </c>
      <c r="D477" s="7" t="s">
        <v>1426</v>
      </c>
      <c r="E477" s="8" t="s">
        <v>1427</v>
      </c>
      <c r="F477" s="9" t="s">
        <v>1428</v>
      </c>
      <c r="G477" s="8" t="s">
        <v>1429</v>
      </c>
      <c r="H477" s="15"/>
      <c r="I477" s="15"/>
      <c r="J477" s="10"/>
      <c r="K477" s="10"/>
      <c r="L477" s="10"/>
      <c r="M477" s="11" t="str">
        <f aca="false">IF(COUNTA(J477:L477)&lt;3,"",IF(COUNTIF(J477:L477,"유지")=3,"채택","제외"))</f>
        <v/>
      </c>
      <c r="N477" s="12"/>
    </row>
    <row r="478" customFormat="false" ht="15" hidden="false" customHeight="false" outlineLevel="0" collapsed="false">
      <c r="A478" s="7" t="n">
        <v>477</v>
      </c>
      <c r="B478" s="7" t="s">
        <v>1025</v>
      </c>
      <c r="C478" s="7" t="s">
        <v>1374</v>
      </c>
      <c r="D478" s="7" t="s">
        <v>1430</v>
      </c>
      <c r="E478" s="8" t="s">
        <v>1431</v>
      </c>
      <c r="F478" s="9" t="s">
        <v>1432</v>
      </c>
      <c r="G478" s="8" t="s">
        <v>1432</v>
      </c>
      <c r="H478" s="15"/>
      <c r="I478" s="15"/>
      <c r="J478" s="10"/>
      <c r="K478" s="10"/>
      <c r="L478" s="10"/>
      <c r="M478" s="11" t="str">
        <f aca="false">IF(COUNTA(J478:L478)&lt;3,"",IF(COUNTIF(J478:L478,"유지")=3,"채택","제외"))</f>
        <v/>
      </c>
      <c r="N478" s="12"/>
    </row>
    <row r="479" customFormat="false" ht="15" hidden="false" customHeight="false" outlineLevel="0" collapsed="false">
      <c r="A479" s="7" t="n">
        <v>478</v>
      </c>
      <c r="B479" s="7" t="s">
        <v>1025</v>
      </c>
      <c r="C479" s="7" t="s">
        <v>1374</v>
      </c>
      <c r="D479" s="7" t="s">
        <v>1433</v>
      </c>
      <c r="E479" s="8" t="s">
        <v>1434</v>
      </c>
      <c r="F479" s="9" t="s">
        <v>1435</v>
      </c>
      <c r="G479" s="8" t="s">
        <v>1435</v>
      </c>
      <c r="H479" s="13" t="s">
        <v>87</v>
      </c>
      <c r="I479" s="14"/>
      <c r="J479" s="10"/>
      <c r="K479" s="10"/>
      <c r="L479" s="10"/>
      <c r="M479" s="11" t="str">
        <f aca="false">IF(COUNTA(J479:L479)&lt;3,"",IF(COUNTIF(J479:L479,"유지")=3,"채택","제외"))</f>
        <v/>
      </c>
      <c r="N479" s="12"/>
    </row>
    <row r="480" customFormat="false" ht="15" hidden="false" customHeight="false" outlineLevel="0" collapsed="false">
      <c r="A480" s="7" t="n">
        <v>479</v>
      </c>
      <c r="B480" s="7" t="s">
        <v>1025</v>
      </c>
      <c r="C480" s="7" t="s">
        <v>1374</v>
      </c>
      <c r="D480" s="7" t="s">
        <v>1436</v>
      </c>
      <c r="E480" s="8" t="s">
        <v>1437</v>
      </c>
      <c r="F480" s="9" t="s">
        <v>1438</v>
      </c>
      <c r="G480" s="8" t="s">
        <v>1438</v>
      </c>
      <c r="H480" s="15"/>
      <c r="I480" s="15"/>
      <c r="J480" s="10"/>
      <c r="K480" s="10"/>
      <c r="L480" s="10"/>
      <c r="M480" s="11" t="str">
        <f aca="false">IF(COUNTA(J480:L480)&lt;3,"",IF(COUNTIF(J480:L480,"유지")=3,"채택","제외"))</f>
        <v/>
      </c>
      <c r="N480" s="12"/>
    </row>
    <row r="481" customFormat="false" ht="15" hidden="false" customHeight="false" outlineLevel="0" collapsed="false">
      <c r="A481" s="7" t="n">
        <v>480</v>
      </c>
      <c r="B481" s="7" t="s">
        <v>1025</v>
      </c>
      <c r="C481" s="7" t="s">
        <v>1374</v>
      </c>
      <c r="D481" s="7" t="s">
        <v>1439</v>
      </c>
      <c r="E481" s="8" t="s">
        <v>1440</v>
      </c>
      <c r="F481" s="9" t="s">
        <v>1441</v>
      </c>
      <c r="G481" s="8" t="s">
        <v>1441</v>
      </c>
      <c r="H481" s="13" t="s">
        <v>87</v>
      </c>
      <c r="I481" s="14"/>
      <c r="J481" s="10"/>
      <c r="K481" s="10"/>
      <c r="L481" s="10"/>
      <c r="M481" s="11" t="str">
        <f aca="false">IF(COUNTA(J481:L481)&lt;3,"",IF(COUNTIF(J481:L481,"유지")=3,"채택","제외"))</f>
        <v/>
      </c>
      <c r="N481" s="12"/>
    </row>
    <row r="482" customFormat="false" ht="15" hidden="false" customHeight="false" outlineLevel="0" collapsed="false">
      <c r="A482" s="7" t="n">
        <v>481</v>
      </c>
      <c r="B482" s="7" t="s">
        <v>1025</v>
      </c>
      <c r="C482" s="7" t="s">
        <v>1374</v>
      </c>
      <c r="D482" s="7" t="s">
        <v>1442</v>
      </c>
      <c r="E482" s="8" t="s">
        <v>1440</v>
      </c>
      <c r="F482" s="9" t="s">
        <v>1441</v>
      </c>
      <c r="G482" s="8" t="s">
        <v>1441</v>
      </c>
      <c r="H482" s="13" t="s">
        <v>87</v>
      </c>
      <c r="I482" s="14"/>
      <c r="J482" s="10"/>
      <c r="K482" s="10"/>
      <c r="L482" s="10"/>
      <c r="M482" s="11" t="str">
        <f aca="false">IF(COUNTA(J482:L482)&lt;3,"",IF(COUNTIF(J482:L482,"유지")=3,"채택","제외"))</f>
        <v/>
      </c>
      <c r="N482" s="12"/>
    </row>
    <row r="483" customFormat="false" ht="15" hidden="false" customHeight="false" outlineLevel="0" collapsed="false">
      <c r="A483" s="7" t="n">
        <v>482</v>
      </c>
      <c r="B483" s="7" t="s">
        <v>1025</v>
      </c>
      <c r="C483" s="7" t="s">
        <v>1374</v>
      </c>
      <c r="D483" s="7" t="s">
        <v>1443</v>
      </c>
      <c r="E483" s="8" t="s">
        <v>1444</v>
      </c>
      <c r="F483" s="9" t="s">
        <v>1445</v>
      </c>
      <c r="G483" s="8" t="s">
        <v>1445</v>
      </c>
      <c r="H483" s="13" t="s">
        <v>87</v>
      </c>
      <c r="I483" s="14"/>
      <c r="J483" s="10"/>
      <c r="K483" s="10"/>
      <c r="L483" s="10"/>
      <c r="M483" s="11" t="str">
        <f aca="false">IF(COUNTA(J483:L483)&lt;3,"",IF(COUNTIF(J483:L483,"유지")=3,"채택","제외"))</f>
        <v/>
      </c>
      <c r="N483" s="12"/>
    </row>
    <row r="484" customFormat="false" ht="15" hidden="false" customHeight="false" outlineLevel="0" collapsed="false">
      <c r="A484" s="7" t="n">
        <v>483</v>
      </c>
      <c r="B484" s="7" t="s">
        <v>1025</v>
      </c>
      <c r="C484" s="7" t="s">
        <v>1374</v>
      </c>
      <c r="D484" s="7" t="s">
        <v>1446</v>
      </c>
      <c r="E484" s="8" t="s">
        <v>1447</v>
      </c>
      <c r="F484" s="9" t="s">
        <v>1448</v>
      </c>
      <c r="G484" s="8" t="s">
        <v>1448</v>
      </c>
      <c r="H484" s="13" t="s">
        <v>1204</v>
      </c>
      <c r="I484" s="14" t="s">
        <v>1449</v>
      </c>
      <c r="J484" s="10"/>
      <c r="K484" s="10"/>
      <c r="L484" s="10"/>
      <c r="M484" s="11" t="str">
        <f aca="false">IF(COUNTA(J484:L484)&lt;3,"",IF(COUNTIF(J484:L484,"유지")=3,"채택","제외"))</f>
        <v/>
      </c>
      <c r="N484" s="12"/>
    </row>
    <row r="485" customFormat="false" ht="15" hidden="false" customHeight="false" outlineLevel="0" collapsed="false">
      <c r="A485" s="7" t="n">
        <v>484</v>
      </c>
      <c r="B485" s="7" t="s">
        <v>1025</v>
      </c>
      <c r="C485" s="7" t="s">
        <v>1374</v>
      </c>
      <c r="D485" s="7" t="s">
        <v>1450</v>
      </c>
      <c r="E485" s="8" t="s">
        <v>1387</v>
      </c>
      <c r="F485" s="9" t="s">
        <v>1388</v>
      </c>
      <c r="G485" s="8" t="s">
        <v>1388</v>
      </c>
      <c r="H485" s="13" t="s">
        <v>87</v>
      </c>
      <c r="I485" s="14"/>
      <c r="J485" s="10"/>
      <c r="K485" s="10"/>
      <c r="L485" s="10"/>
      <c r="M485" s="11" t="str">
        <f aca="false">IF(COUNTA(J485:L485)&lt;3,"",IF(COUNTIF(J485:L485,"유지")=3,"채택","제외"))</f>
        <v/>
      </c>
      <c r="N485" s="12"/>
    </row>
    <row r="486" customFormat="false" ht="15" hidden="false" customHeight="false" outlineLevel="0" collapsed="false">
      <c r="A486" s="7" t="n">
        <v>485</v>
      </c>
      <c r="B486" s="7" t="s">
        <v>1025</v>
      </c>
      <c r="C486" s="7" t="s">
        <v>1374</v>
      </c>
      <c r="D486" s="7" t="s">
        <v>1451</v>
      </c>
      <c r="E486" s="8" t="s">
        <v>1452</v>
      </c>
      <c r="F486" s="9" t="s">
        <v>1453</v>
      </c>
      <c r="G486" s="8" t="s">
        <v>1453</v>
      </c>
      <c r="H486" s="13" t="s">
        <v>87</v>
      </c>
      <c r="I486" s="14"/>
      <c r="J486" s="10"/>
      <c r="K486" s="10"/>
      <c r="L486" s="10"/>
      <c r="M486" s="11" t="str">
        <f aca="false">IF(COUNTA(J486:L486)&lt;3,"",IF(COUNTIF(J486:L486,"유지")=3,"채택","제외"))</f>
        <v/>
      </c>
      <c r="N486" s="12"/>
    </row>
    <row r="487" customFormat="false" ht="15" hidden="false" customHeight="false" outlineLevel="0" collapsed="false">
      <c r="A487" s="7" t="n">
        <v>486</v>
      </c>
      <c r="B487" s="7" t="s">
        <v>1025</v>
      </c>
      <c r="C487" s="7" t="s">
        <v>1374</v>
      </c>
      <c r="D487" s="7" t="s">
        <v>1454</v>
      </c>
      <c r="E487" s="8" t="s">
        <v>1455</v>
      </c>
      <c r="F487" s="9" t="s">
        <v>1456</v>
      </c>
      <c r="G487" s="8" t="s">
        <v>1456</v>
      </c>
      <c r="H487" s="15"/>
      <c r="I487" s="15"/>
      <c r="J487" s="10"/>
      <c r="K487" s="10"/>
      <c r="L487" s="10"/>
      <c r="M487" s="11" t="str">
        <f aca="false">IF(COUNTA(J487:L487)&lt;3,"",IF(COUNTIF(J487:L487,"유지")=3,"채택","제외"))</f>
        <v/>
      </c>
      <c r="N487" s="12"/>
    </row>
    <row r="488" customFormat="false" ht="15" hidden="false" customHeight="false" outlineLevel="0" collapsed="false">
      <c r="A488" s="7" t="n">
        <v>487</v>
      </c>
      <c r="B488" s="7" t="s">
        <v>1025</v>
      </c>
      <c r="C488" s="7" t="s">
        <v>1374</v>
      </c>
      <c r="D488" s="7" t="s">
        <v>1457</v>
      </c>
      <c r="E488" s="8" t="s">
        <v>1458</v>
      </c>
      <c r="F488" s="9" t="s">
        <v>1459</v>
      </c>
      <c r="G488" s="8" t="s">
        <v>1459</v>
      </c>
      <c r="H488" s="15"/>
      <c r="I488" s="15"/>
      <c r="J488" s="10"/>
      <c r="K488" s="10"/>
      <c r="L488" s="10"/>
      <c r="M488" s="11" t="str">
        <f aca="false">IF(COUNTA(J488:L488)&lt;3,"",IF(COUNTIF(J488:L488,"유지")=3,"채택","제외"))</f>
        <v/>
      </c>
      <c r="N488" s="12"/>
    </row>
    <row r="489" customFormat="false" ht="15" hidden="false" customHeight="false" outlineLevel="0" collapsed="false">
      <c r="A489" s="7" t="n">
        <v>488</v>
      </c>
      <c r="B489" s="7" t="s">
        <v>1025</v>
      </c>
      <c r="C489" s="7" t="s">
        <v>1374</v>
      </c>
      <c r="D489" s="7" t="s">
        <v>1460</v>
      </c>
      <c r="E489" s="8" t="s">
        <v>1396</v>
      </c>
      <c r="F489" s="9" t="s">
        <v>1397</v>
      </c>
      <c r="G489" s="8" t="s">
        <v>1397</v>
      </c>
      <c r="H489" s="13" t="s">
        <v>87</v>
      </c>
      <c r="I489" s="14"/>
      <c r="J489" s="10"/>
      <c r="K489" s="10"/>
      <c r="L489" s="10"/>
      <c r="M489" s="11" t="str">
        <f aca="false">IF(COUNTA(J489:L489)&lt;3,"",IF(COUNTIF(J489:L489,"유지")=3,"채택","제외"))</f>
        <v/>
      </c>
      <c r="N489" s="12"/>
    </row>
    <row r="490" customFormat="false" ht="15" hidden="false" customHeight="false" outlineLevel="0" collapsed="false">
      <c r="A490" s="7" t="n">
        <v>489</v>
      </c>
      <c r="B490" s="7" t="s">
        <v>1025</v>
      </c>
      <c r="C490" s="7" t="s">
        <v>1374</v>
      </c>
      <c r="D490" s="7" t="s">
        <v>1461</v>
      </c>
      <c r="E490" s="8" t="s">
        <v>1462</v>
      </c>
      <c r="F490" s="9" t="s">
        <v>1463</v>
      </c>
      <c r="G490" s="8" t="s">
        <v>1463</v>
      </c>
      <c r="H490" s="14"/>
      <c r="I490" s="14" t="s">
        <v>1464</v>
      </c>
      <c r="J490" s="10"/>
      <c r="K490" s="10"/>
      <c r="L490" s="10"/>
      <c r="M490" s="11" t="str">
        <f aca="false">IF(COUNTA(J490:L490)&lt;3,"",IF(COUNTIF(J490:L490,"유지")=3,"채택","제외"))</f>
        <v/>
      </c>
      <c r="N490" s="12"/>
    </row>
    <row r="491" customFormat="false" ht="15" hidden="false" customHeight="false" outlineLevel="0" collapsed="false">
      <c r="A491" s="7" t="n">
        <v>490</v>
      </c>
      <c r="B491" s="7" t="s">
        <v>1025</v>
      </c>
      <c r="C491" s="7" t="s">
        <v>1374</v>
      </c>
      <c r="D491" s="7" t="s">
        <v>1465</v>
      </c>
      <c r="E491" s="8" t="s">
        <v>1466</v>
      </c>
      <c r="F491" s="9" t="s">
        <v>1467</v>
      </c>
      <c r="G491" s="8" t="s">
        <v>1467</v>
      </c>
      <c r="H491" s="15"/>
      <c r="I491" s="15"/>
      <c r="J491" s="10"/>
      <c r="K491" s="10"/>
      <c r="L491" s="10"/>
      <c r="M491" s="11" t="str">
        <f aca="false">IF(COUNTA(J491:L491)&lt;3,"",IF(COUNTIF(J491:L491,"유지")=3,"채택","제외"))</f>
        <v/>
      </c>
      <c r="N491" s="12"/>
    </row>
    <row r="492" customFormat="false" ht="15" hidden="false" customHeight="false" outlineLevel="0" collapsed="false">
      <c r="A492" s="7" t="n">
        <v>491</v>
      </c>
      <c r="B492" s="7" t="s">
        <v>1025</v>
      </c>
      <c r="C492" s="7" t="s">
        <v>1374</v>
      </c>
      <c r="D492" s="7" t="s">
        <v>1468</v>
      </c>
      <c r="E492" s="8" t="s">
        <v>1469</v>
      </c>
      <c r="F492" s="9" t="s">
        <v>1470</v>
      </c>
      <c r="G492" s="8" t="s">
        <v>1470</v>
      </c>
      <c r="H492" s="15"/>
      <c r="I492" s="15"/>
      <c r="J492" s="10"/>
      <c r="K492" s="10"/>
      <c r="L492" s="10"/>
      <c r="M492" s="11" t="str">
        <f aca="false">IF(COUNTA(J492:L492)&lt;3,"",IF(COUNTIF(J492:L492,"유지")=3,"채택","제외"))</f>
        <v/>
      </c>
      <c r="N492" s="12"/>
    </row>
    <row r="493" customFormat="false" ht="15" hidden="false" customHeight="false" outlineLevel="0" collapsed="false">
      <c r="A493" s="7" t="n">
        <v>492</v>
      </c>
      <c r="B493" s="7" t="s">
        <v>1025</v>
      </c>
      <c r="C493" s="7" t="s">
        <v>1374</v>
      </c>
      <c r="D493" s="7" t="s">
        <v>1471</v>
      </c>
      <c r="E493" s="8" t="s">
        <v>1472</v>
      </c>
      <c r="F493" s="9" t="s">
        <v>1473</v>
      </c>
      <c r="G493" s="8" t="s">
        <v>1473</v>
      </c>
      <c r="H493" s="13" t="s">
        <v>74</v>
      </c>
      <c r="I493" s="14"/>
      <c r="J493" s="10"/>
      <c r="K493" s="10"/>
      <c r="L493" s="10"/>
      <c r="M493" s="11" t="str">
        <f aca="false">IF(COUNTA(J493:L493)&lt;3,"",IF(COUNTIF(J493:L493,"유지")=3,"채택","제외"))</f>
        <v/>
      </c>
      <c r="N493" s="12"/>
    </row>
    <row r="494" customFormat="false" ht="15" hidden="false" customHeight="false" outlineLevel="0" collapsed="false">
      <c r="A494" s="7" t="n">
        <v>493</v>
      </c>
      <c r="B494" s="7" t="s">
        <v>1025</v>
      </c>
      <c r="C494" s="7" t="s">
        <v>1374</v>
      </c>
      <c r="D494" s="7" t="s">
        <v>1474</v>
      </c>
      <c r="E494" s="8" t="s">
        <v>1475</v>
      </c>
      <c r="F494" s="9" t="s">
        <v>1476</v>
      </c>
      <c r="G494" s="8" t="s">
        <v>1476</v>
      </c>
      <c r="H494" s="15"/>
      <c r="I494" s="15"/>
      <c r="J494" s="10"/>
      <c r="K494" s="10"/>
      <c r="L494" s="10"/>
      <c r="M494" s="11" t="str">
        <f aca="false">IF(COUNTA(J494:L494)&lt;3,"",IF(COUNTIF(J494:L494,"유지")=3,"채택","제외"))</f>
        <v/>
      </c>
      <c r="N494" s="12"/>
    </row>
    <row r="495" customFormat="false" ht="15" hidden="false" customHeight="false" outlineLevel="0" collapsed="false">
      <c r="A495" s="7" t="n">
        <v>494</v>
      </c>
      <c r="B495" s="7" t="s">
        <v>1025</v>
      </c>
      <c r="C495" s="7" t="s">
        <v>1374</v>
      </c>
      <c r="D495" s="7" t="s">
        <v>1477</v>
      </c>
      <c r="E495" s="8" t="s">
        <v>1375</v>
      </c>
      <c r="F495" s="9" t="s">
        <v>1376</v>
      </c>
      <c r="G495" s="8" t="s">
        <v>1376</v>
      </c>
      <c r="H495" s="13" t="s">
        <v>87</v>
      </c>
      <c r="I495" s="14"/>
      <c r="J495" s="10"/>
      <c r="K495" s="10"/>
      <c r="L495" s="10"/>
      <c r="M495" s="11" t="str">
        <f aca="false">IF(COUNTA(J495:L495)&lt;3,"",IF(COUNTIF(J495:L495,"유지")=3,"채택","제외"))</f>
        <v/>
      </c>
      <c r="N495" s="12"/>
    </row>
    <row r="496" customFormat="false" ht="15" hidden="false" customHeight="false" outlineLevel="0" collapsed="false">
      <c r="A496" s="7" t="n">
        <v>495</v>
      </c>
      <c r="B496" s="7" t="s">
        <v>1025</v>
      </c>
      <c r="C496" s="7" t="s">
        <v>1374</v>
      </c>
      <c r="D496" s="7" t="s">
        <v>1478</v>
      </c>
      <c r="E496" s="8" t="s">
        <v>1479</v>
      </c>
      <c r="F496" s="9" t="s">
        <v>1480</v>
      </c>
      <c r="G496" s="8" t="s">
        <v>1480</v>
      </c>
      <c r="H496" s="15"/>
      <c r="I496" s="15"/>
      <c r="J496" s="10"/>
      <c r="K496" s="10"/>
      <c r="L496" s="10"/>
      <c r="M496" s="11" t="str">
        <f aca="false">IF(COUNTA(J496:L496)&lt;3,"",IF(COUNTIF(J496:L496,"유지")=3,"채택","제외"))</f>
        <v/>
      </c>
      <c r="N496" s="12"/>
    </row>
    <row r="497" customFormat="false" ht="15" hidden="false" customHeight="false" outlineLevel="0" collapsed="false">
      <c r="A497" s="7" t="n">
        <v>496</v>
      </c>
      <c r="B497" s="7" t="s">
        <v>1025</v>
      </c>
      <c r="C497" s="7" t="s">
        <v>1374</v>
      </c>
      <c r="D497" s="7" t="s">
        <v>1481</v>
      </c>
      <c r="E497" s="8" t="s">
        <v>1444</v>
      </c>
      <c r="F497" s="9" t="s">
        <v>1445</v>
      </c>
      <c r="G497" s="8" t="s">
        <v>1445</v>
      </c>
      <c r="H497" s="13" t="s">
        <v>87</v>
      </c>
      <c r="I497" s="14"/>
      <c r="J497" s="10"/>
      <c r="K497" s="10"/>
      <c r="L497" s="10"/>
      <c r="M497" s="11" t="str">
        <f aca="false">IF(COUNTA(J497:L497)&lt;3,"",IF(COUNTIF(J497:L497,"유지")=3,"채택","제외"))</f>
        <v/>
      </c>
      <c r="N497" s="12"/>
    </row>
    <row r="498" customFormat="false" ht="15" hidden="false" customHeight="false" outlineLevel="0" collapsed="false">
      <c r="A498" s="7" t="n">
        <v>497</v>
      </c>
      <c r="B498" s="7" t="s">
        <v>1025</v>
      </c>
      <c r="C498" s="7" t="s">
        <v>1374</v>
      </c>
      <c r="D498" s="7" t="s">
        <v>1482</v>
      </c>
      <c r="E498" s="8" t="s">
        <v>1483</v>
      </c>
      <c r="F498" s="9" t="s">
        <v>1484</v>
      </c>
      <c r="G498" s="8" t="s">
        <v>1484</v>
      </c>
      <c r="H498" s="15"/>
      <c r="I498" s="15"/>
      <c r="J498" s="10"/>
      <c r="K498" s="10"/>
      <c r="L498" s="10"/>
      <c r="M498" s="11" t="str">
        <f aca="false">IF(COUNTA(J498:L498)&lt;3,"",IF(COUNTIF(J498:L498,"유지")=3,"채택","제외"))</f>
        <v/>
      </c>
      <c r="N498" s="12"/>
    </row>
    <row r="499" customFormat="false" ht="15" hidden="false" customHeight="false" outlineLevel="0" collapsed="false">
      <c r="A499" s="7" t="n">
        <v>498</v>
      </c>
      <c r="B499" s="7" t="s">
        <v>1025</v>
      </c>
      <c r="C499" s="7" t="s">
        <v>1374</v>
      </c>
      <c r="D499" s="7" t="s">
        <v>1482</v>
      </c>
      <c r="E499" s="8" t="s">
        <v>1485</v>
      </c>
      <c r="F499" s="9" t="s">
        <v>1486</v>
      </c>
      <c r="G499" s="8" t="s">
        <v>1486</v>
      </c>
      <c r="H499" s="15"/>
      <c r="I499" s="15"/>
      <c r="J499" s="10"/>
      <c r="K499" s="10"/>
      <c r="L499" s="10"/>
      <c r="M499" s="11" t="str">
        <f aca="false">IF(COUNTA(J499:L499)&lt;3,"",IF(COUNTIF(J499:L499,"유지")=3,"채택","제외"))</f>
        <v/>
      </c>
      <c r="N499" s="12"/>
    </row>
    <row r="500" customFormat="false" ht="15" hidden="false" customHeight="false" outlineLevel="0" collapsed="false">
      <c r="A500" s="7" t="n">
        <v>499</v>
      </c>
      <c r="B500" s="7" t="s">
        <v>1025</v>
      </c>
      <c r="C500" s="7" t="s">
        <v>1374</v>
      </c>
      <c r="D500" s="7" t="s">
        <v>1487</v>
      </c>
      <c r="E500" s="8" t="s">
        <v>1452</v>
      </c>
      <c r="F500" s="9" t="s">
        <v>1453</v>
      </c>
      <c r="G500" s="8" t="s">
        <v>1453</v>
      </c>
      <c r="H500" s="13" t="s">
        <v>87</v>
      </c>
      <c r="I500" s="14"/>
      <c r="J500" s="10"/>
      <c r="K500" s="10"/>
      <c r="L500" s="10"/>
      <c r="M500" s="11" t="str">
        <f aca="false">IF(COUNTA(J500:L500)&lt;3,"",IF(COUNTIF(J500:L500,"유지")=3,"채택","제외"))</f>
        <v/>
      </c>
      <c r="N500" s="12"/>
    </row>
    <row r="501" customFormat="false" ht="15" hidden="false" customHeight="false" outlineLevel="0" collapsed="false">
      <c r="A501" s="7" t="n">
        <v>500</v>
      </c>
      <c r="B501" s="7" t="s">
        <v>1025</v>
      </c>
      <c r="C501" s="7" t="s">
        <v>1374</v>
      </c>
      <c r="D501" s="7" t="s">
        <v>1488</v>
      </c>
      <c r="E501" s="8" t="s">
        <v>1489</v>
      </c>
      <c r="F501" s="9" t="s">
        <v>1490</v>
      </c>
      <c r="G501" s="8" t="s">
        <v>1490</v>
      </c>
      <c r="H501" s="15"/>
      <c r="I501" s="15"/>
      <c r="J501" s="10"/>
      <c r="K501" s="10"/>
      <c r="L501" s="10"/>
      <c r="M501" s="11" t="str">
        <f aca="false">IF(COUNTA(J501:L501)&lt;3,"",IF(COUNTIF(J501:L501,"유지")=3,"채택","제외"))</f>
        <v/>
      </c>
      <c r="N501" s="12"/>
    </row>
    <row r="502" customFormat="false" ht="15" hidden="false" customHeight="false" outlineLevel="0" collapsed="false">
      <c r="A502" s="7" t="n">
        <v>501</v>
      </c>
      <c r="B502" s="7" t="s">
        <v>1025</v>
      </c>
      <c r="C502" s="7" t="s">
        <v>1491</v>
      </c>
      <c r="D502" s="7" t="s">
        <v>1491</v>
      </c>
      <c r="E502" s="8" t="s">
        <v>1492</v>
      </c>
      <c r="F502" s="9" t="s">
        <v>1493</v>
      </c>
      <c r="G502" s="8" t="s">
        <v>1493</v>
      </c>
      <c r="H502" s="15"/>
      <c r="I502" s="15"/>
      <c r="J502" s="10"/>
      <c r="K502" s="10"/>
      <c r="L502" s="10"/>
      <c r="M502" s="11" t="str">
        <f aca="false">IF(COUNTA(J502:L502)&lt;3,"",IF(COUNTIF(J502:L502,"유지")=3,"채택","제외"))</f>
        <v/>
      </c>
      <c r="N502" s="12"/>
    </row>
    <row r="503" customFormat="false" ht="15" hidden="false" customHeight="false" outlineLevel="0" collapsed="false">
      <c r="A503" s="7" t="n">
        <v>502</v>
      </c>
      <c r="B503" s="7" t="s">
        <v>1025</v>
      </c>
      <c r="C503" s="7" t="s">
        <v>1491</v>
      </c>
      <c r="D503" s="7" t="s">
        <v>1494</v>
      </c>
      <c r="E503" s="8" t="s">
        <v>1495</v>
      </c>
      <c r="F503" s="9" t="s">
        <v>1496</v>
      </c>
      <c r="G503" s="8" t="s">
        <v>1496</v>
      </c>
      <c r="H503" s="13" t="s">
        <v>87</v>
      </c>
      <c r="I503" s="14"/>
      <c r="J503" s="10"/>
      <c r="K503" s="10"/>
      <c r="L503" s="10"/>
      <c r="M503" s="11" t="str">
        <f aca="false">IF(COUNTA(J503:L503)&lt;3,"",IF(COUNTIF(J503:L503,"유지")=3,"채택","제외"))</f>
        <v/>
      </c>
      <c r="N503" s="12"/>
    </row>
    <row r="504" customFormat="false" ht="15" hidden="false" customHeight="false" outlineLevel="0" collapsed="false">
      <c r="A504" s="7" t="n">
        <v>503</v>
      </c>
      <c r="B504" s="7" t="s">
        <v>1025</v>
      </c>
      <c r="C504" s="7" t="s">
        <v>1491</v>
      </c>
      <c r="D504" s="7" t="s">
        <v>1497</v>
      </c>
      <c r="E504" s="8" t="s">
        <v>1498</v>
      </c>
      <c r="F504" s="9" t="s">
        <v>1499</v>
      </c>
      <c r="G504" s="8" t="s">
        <v>1499</v>
      </c>
      <c r="H504" s="15"/>
      <c r="I504" s="15"/>
      <c r="J504" s="10"/>
      <c r="K504" s="10"/>
      <c r="L504" s="10"/>
      <c r="M504" s="11" t="str">
        <f aca="false">IF(COUNTA(J504:L504)&lt;3,"",IF(COUNTIF(J504:L504,"유지")=3,"채택","제외"))</f>
        <v/>
      </c>
      <c r="N504" s="12"/>
    </row>
    <row r="505" customFormat="false" ht="15" hidden="false" customHeight="false" outlineLevel="0" collapsed="false">
      <c r="A505" s="7" t="n">
        <v>504</v>
      </c>
      <c r="B505" s="7" t="s">
        <v>1025</v>
      </c>
      <c r="C505" s="7" t="s">
        <v>1491</v>
      </c>
      <c r="D505" s="7" t="s">
        <v>1500</v>
      </c>
      <c r="E505" s="8" t="s">
        <v>1501</v>
      </c>
      <c r="F505" s="9" t="s">
        <v>1502</v>
      </c>
      <c r="G505" s="8" t="s">
        <v>1502</v>
      </c>
      <c r="H505" s="13" t="s">
        <v>87</v>
      </c>
      <c r="I505" s="14"/>
      <c r="J505" s="10"/>
      <c r="K505" s="10"/>
      <c r="L505" s="10"/>
      <c r="M505" s="11" t="str">
        <f aca="false">IF(COUNTA(J505:L505)&lt;3,"",IF(COUNTIF(J505:L505,"유지")=3,"채택","제외"))</f>
        <v/>
      </c>
      <c r="N505" s="12"/>
    </row>
    <row r="506" customFormat="false" ht="15" hidden="false" customHeight="false" outlineLevel="0" collapsed="false">
      <c r="A506" s="7" t="n">
        <v>505</v>
      </c>
      <c r="B506" s="7" t="s">
        <v>1025</v>
      </c>
      <c r="C506" s="7" t="s">
        <v>1491</v>
      </c>
      <c r="D506" s="7" t="s">
        <v>1503</v>
      </c>
      <c r="E506" s="8" t="s">
        <v>1504</v>
      </c>
      <c r="F506" s="9" t="s">
        <v>1505</v>
      </c>
      <c r="G506" s="8" t="s">
        <v>1505</v>
      </c>
      <c r="H506" s="14" t="s">
        <v>1506</v>
      </c>
      <c r="I506" s="14" t="s">
        <v>1507</v>
      </c>
      <c r="J506" s="10"/>
      <c r="K506" s="10"/>
      <c r="L506" s="10"/>
      <c r="M506" s="11" t="str">
        <f aca="false">IF(COUNTA(J506:L506)&lt;3,"",IF(COUNTIF(J506:L506,"유지")=3,"채택","제외"))</f>
        <v/>
      </c>
      <c r="N506" s="12"/>
    </row>
    <row r="507" customFormat="false" ht="15" hidden="false" customHeight="false" outlineLevel="0" collapsed="false">
      <c r="A507" s="7" t="n">
        <v>506</v>
      </c>
      <c r="B507" s="7" t="s">
        <v>1025</v>
      </c>
      <c r="C507" s="7" t="s">
        <v>1491</v>
      </c>
      <c r="D507" s="7" t="s">
        <v>1508</v>
      </c>
      <c r="E507" s="8" t="s">
        <v>1509</v>
      </c>
      <c r="F507" s="9" t="s">
        <v>1510</v>
      </c>
      <c r="G507" s="8" t="s">
        <v>1510</v>
      </c>
      <c r="H507" s="15"/>
      <c r="I507" s="15"/>
      <c r="J507" s="10"/>
      <c r="K507" s="10"/>
      <c r="L507" s="10"/>
      <c r="M507" s="11" t="str">
        <f aca="false">IF(COUNTA(J507:L507)&lt;3,"",IF(COUNTIF(J507:L507,"유지")=3,"채택","제외"))</f>
        <v/>
      </c>
      <c r="N507" s="12"/>
    </row>
    <row r="508" customFormat="false" ht="15" hidden="false" customHeight="false" outlineLevel="0" collapsed="false">
      <c r="A508" s="7" t="n">
        <v>507</v>
      </c>
      <c r="B508" s="7" t="s">
        <v>1025</v>
      </c>
      <c r="C508" s="7" t="s">
        <v>1491</v>
      </c>
      <c r="D508" s="7" t="s">
        <v>1511</v>
      </c>
      <c r="E508" s="8" t="s">
        <v>1512</v>
      </c>
      <c r="F508" s="9" t="s">
        <v>1513</v>
      </c>
      <c r="G508" s="8" t="s">
        <v>1513</v>
      </c>
      <c r="H508" s="15"/>
      <c r="I508" s="15"/>
      <c r="J508" s="10"/>
      <c r="K508" s="10"/>
      <c r="L508" s="10"/>
      <c r="M508" s="11" t="str">
        <f aca="false">IF(COUNTA(J508:L508)&lt;3,"",IF(COUNTIF(J508:L508,"유지")=3,"채택","제외"))</f>
        <v/>
      </c>
      <c r="N508" s="12"/>
    </row>
    <row r="509" customFormat="false" ht="15" hidden="false" customHeight="false" outlineLevel="0" collapsed="false">
      <c r="A509" s="7" t="n">
        <v>508</v>
      </c>
      <c r="B509" s="7" t="s">
        <v>1025</v>
      </c>
      <c r="C509" s="7" t="s">
        <v>1491</v>
      </c>
      <c r="D509" s="7" t="s">
        <v>1514</v>
      </c>
      <c r="E509" s="8" t="s">
        <v>1495</v>
      </c>
      <c r="F509" s="9" t="s">
        <v>1496</v>
      </c>
      <c r="G509" s="8" t="s">
        <v>1496</v>
      </c>
      <c r="H509" s="13" t="s">
        <v>87</v>
      </c>
      <c r="I509" s="14"/>
      <c r="J509" s="10"/>
      <c r="K509" s="10"/>
      <c r="L509" s="10"/>
      <c r="M509" s="11" t="str">
        <f aca="false">IF(COUNTA(J509:L509)&lt;3,"",IF(COUNTIF(J509:L509,"유지")=3,"채택","제외"))</f>
        <v/>
      </c>
      <c r="N509" s="12"/>
    </row>
    <row r="510" customFormat="false" ht="15" hidden="false" customHeight="false" outlineLevel="0" collapsed="false">
      <c r="A510" s="7" t="n">
        <v>509</v>
      </c>
      <c r="B510" s="7" t="s">
        <v>1025</v>
      </c>
      <c r="C510" s="7" t="s">
        <v>1491</v>
      </c>
      <c r="D510" s="7" t="s">
        <v>1515</v>
      </c>
      <c r="E510" s="8" t="s">
        <v>1516</v>
      </c>
      <c r="F510" s="9" t="s">
        <v>1517</v>
      </c>
      <c r="G510" s="8" t="s">
        <v>1518</v>
      </c>
      <c r="H510" s="15"/>
      <c r="I510" s="15"/>
      <c r="J510" s="10"/>
      <c r="K510" s="10"/>
      <c r="L510" s="10"/>
      <c r="M510" s="11" t="str">
        <f aca="false">IF(COUNTA(J510:L510)&lt;3,"",IF(COUNTIF(J510:L510,"유지")=3,"채택","제외"))</f>
        <v/>
      </c>
      <c r="N510" s="12"/>
    </row>
    <row r="511" customFormat="false" ht="15" hidden="false" customHeight="false" outlineLevel="0" collapsed="false">
      <c r="A511" s="7" t="n">
        <v>510</v>
      </c>
      <c r="B511" s="7" t="s">
        <v>1025</v>
      </c>
      <c r="C511" s="7" t="s">
        <v>1491</v>
      </c>
      <c r="D511" s="7" t="s">
        <v>1519</v>
      </c>
      <c r="E511" s="8" t="s">
        <v>1520</v>
      </c>
      <c r="F511" s="9" t="s">
        <v>1521</v>
      </c>
      <c r="G511" s="8" t="s">
        <v>1521</v>
      </c>
      <c r="H511" s="15"/>
      <c r="I511" s="15"/>
      <c r="J511" s="10"/>
      <c r="K511" s="10"/>
      <c r="L511" s="10"/>
      <c r="M511" s="11" t="str">
        <f aca="false">IF(COUNTA(J511:L511)&lt;3,"",IF(COUNTIF(J511:L511,"유지")=3,"채택","제외"))</f>
        <v/>
      </c>
      <c r="N511" s="12"/>
    </row>
    <row r="512" customFormat="false" ht="15" hidden="false" customHeight="false" outlineLevel="0" collapsed="false">
      <c r="A512" s="7" t="n">
        <v>511</v>
      </c>
      <c r="B512" s="7" t="s">
        <v>1025</v>
      </c>
      <c r="C512" s="7" t="s">
        <v>1491</v>
      </c>
      <c r="D512" s="7" t="s">
        <v>1522</v>
      </c>
      <c r="E512" s="8" t="s">
        <v>1495</v>
      </c>
      <c r="F512" s="9" t="s">
        <v>1496</v>
      </c>
      <c r="G512" s="8" t="s">
        <v>1496</v>
      </c>
      <c r="H512" s="13" t="s">
        <v>87</v>
      </c>
      <c r="I512" s="14"/>
      <c r="J512" s="10"/>
      <c r="K512" s="10"/>
      <c r="L512" s="10"/>
      <c r="M512" s="11" t="str">
        <f aca="false">IF(COUNTA(J512:L512)&lt;3,"",IF(COUNTIF(J512:L512,"유지")=3,"채택","제외"))</f>
        <v/>
      </c>
      <c r="N512" s="12"/>
    </row>
    <row r="513" customFormat="false" ht="15" hidden="false" customHeight="false" outlineLevel="0" collapsed="false">
      <c r="A513" s="7" t="n">
        <v>512</v>
      </c>
      <c r="B513" s="7" t="s">
        <v>1025</v>
      </c>
      <c r="C513" s="7" t="s">
        <v>1491</v>
      </c>
      <c r="D513" s="7" t="s">
        <v>1523</v>
      </c>
      <c r="E513" s="8" t="s">
        <v>1504</v>
      </c>
      <c r="F513" s="9" t="s">
        <v>1505</v>
      </c>
      <c r="G513" s="8" t="s">
        <v>1505</v>
      </c>
      <c r="H513" s="14" t="s">
        <v>1506</v>
      </c>
      <c r="I513" s="14" t="s">
        <v>1507</v>
      </c>
      <c r="J513" s="10"/>
      <c r="K513" s="10"/>
      <c r="L513" s="10"/>
      <c r="M513" s="11" t="str">
        <f aca="false">IF(COUNTA(J513:L513)&lt;3,"",IF(COUNTIF(J513:L513,"유지")=3,"채택","제외"))</f>
        <v/>
      </c>
      <c r="N513" s="12"/>
    </row>
    <row r="514" customFormat="false" ht="15" hidden="false" customHeight="false" outlineLevel="0" collapsed="false">
      <c r="A514" s="7" t="n">
        <v>513</v>
      </c>
      <c r="B514" s="7" t="s">
        <v>1025</v>
      </c>
      <c r="C514" s="7" t="s">
        <v>1491</v>
      </c>
      <c r="D514" s="7" t="s">
        <v>1524</v>
      </c>
      <c r="E514" s="8" t="s">
        <v>1525</v>
      </c>
      <c r="F514" s="9" t="s">
        <v>1526</v>
      </c>
      <c r="G514" s="8" t="s">
        <v>1526</v>
      </c>
      <c r="H514" s="15"/>
      <c r="I514" s="15"/>
      <c r="J514" s="10"/>
      <c r="K514" s="10"/>
      <c r="L514" s="10"/>
      <c r="M514" s="11" t="str">
        <f aca="false">IF(COUNTA(J514:L514)&lt;3,"",IF(COUNTIF(J514:L514,"유지")=3,"채택","제외"))</f>
        <v/>
      </c>
      <c r="N514" s="12"/>
    </row>
    <row r="515" customFormat="false" ht="15" hidden="false" customHeight="false" outlineLevel="0" collapsed="false">
      <c r="A515" s="7" t="n">
        <v>514</v>
      </c>
      <c r="B515" s="7" t="s">
        <v>1025</v>
      </c>
      <c r="C515" s="7" t="s">
        <v>1491</v>
      </c>
      <c r="D515" s="7" t="s">
        <v>1527</v>
      </c>
      <c r="E515" s="8" t="s">
        <v>1528</v>
      </c>
      <c r="F515" s="9" t="s">
        <v>1529</v>
      </c>
      <c r="G515" s="8" t="s">
        <v>1529</v>
      </c>
      <c r="H515" s="15"/>
      <c r="I515" s="15"/>
      <c r="J515" s="10"/>
      <c r="K515" s="10"/>
      <c r="L515" s="10"/>
      <c r="M515" s="11" t="str">
        <f aca="false">IF(COUNTA(J515:L515)&lt;3,"",IF(COUNTIF(J515:L515,"유지")=3,"채택","제외"))</f>
        <v/>
      </c>
      <c r="N515" s="12"/>
    </row>
    <row r="516" customFormat="false" ht="15" hidden="false" customHeight="false" outlineLevel="0" collapsed="false">
      <c r="A516" s="7" t="n">
        <v>515</v>
      </c>
      <c r="B516" s="7" t="s">
        <v>1025</v>
      </c>
      <c r="C516" s="7" t="s">
        <v>1491</v>
      </c>
      <c r="D516" s="7" t="s">
        <v>1530</v>
      </c>
      <c r="E516" s="8" t="s">
        <v>1531</v>
      </c>
      <c r="F516" s="9" t="s">
        <v>1532</v>
      </c>
      <c r="G516" s="8" t="s">
        <v>1532</v>
      </c>
      <c r="H516" s="15"/>
      <c r="I516" s="15"/>
      <c r="J516" s="10"/>
      <c r="K516" s="10"/>
      <c r="L516" s="10"/>
      <c r="M516" s="11" t="str">
        <f aca="false">IF(COUNTA(J516:L516)&lt;3,"",IF(COUNTIF(J516:L516,"유지")=3,"채택","제외"))</f>
        <v/>
      </c>
      <c r="N516" s="12"/>
    </row>
    <row r="517" customFormat="false" ht="15" hidden="false" customHeight="false" outlineLevel="0" collapsed="false">
      <c r="A517" s="7" t="n">
        <v>516</v>
      </c>
      <c r="B517" s="7" t="s">
        <v>1025</v>
      </c>
      <c r="C517" s="7" t="s">
        <v>1491</v>
      </c>
      <c r="D517" s="7" t="s">
        <v>1533</v>
      </c>
      <c r="E517" s="8" t="s">
        <v>1534</v>
      </c>
      <c r="F517" s="9" t="s">
        <v>1535</v>
      </c>
      <c r="G517" s="8" t="s">
        <v>1535</v>
      </c>
      <c r="H517" s="15"/>
      <c r="I517" s="15"/>
      <c r="J517" s="10"/>
      <c r="K517" s="10"/>
      <c r="L517" s="10"/>
      <c r="M517" s="11" t="str">
        <f aca="false">IF(COUNTA(J517:L517)&lt;3,"",IF(COUNTIF(J517:L517,"유지")=3,"채택","제외"))</f>
        <v/>
      </c>
      <c r="N517" s="12"/>
    </row>
    <row r="518" customFormat="false" ht="15" hidden="false" customHeight="false" outlineLevel="0" collapsed="false">
      <c r="A518" s="7" t="n">
        <v>517</v>
      </c>
      <c r="B518" s="7" t="s">
        <v>1025</v>
      </c>
      <c r="C518" s="7" t="s">
        <v>1491</v>
      </c>
      <c r="D518" s="7" t="s">
        <v>1536</v>
      </c>
      <c r="E518" s="8" t="s">
        <v>1537</v>
      </c>
      <c r="F518" s="9" t="s">
        <v>1538</v>
      </c>
      <c r="G518" s="8" t="s">
        <v>1538</v>
      </c>
      <c r="H518" s="15"/>
      <c r="I518" s="15"/>
      <c r="J518" s="10"/>
      <c r="K518" s="10"/>
      <c r="L518" s="10"/>
      <c r="M518" s="11" t="str">
        <f aca="false">IF(COUNTA(J518:L518)&lt;3,"",IF(COUNTIF(J518:L518,"유지")=3,"채택","제외"))</f>
        <v/>
      </c>
      <c r="N518" s="12"/>
    </row>
    <row r="519" customFormat="false" ht="15" hidden="false" customHeight="false" outlineLevel="0" collapsed="false">
      <c r="A519" s="7" t="n">
        <v>518</v>
      </c>
      <c r="B519" s="7" t="s">
        <v>1025</v>
      </c>
      <c r="C519" s="7" t="s">
        <v>1491</v>
      </c>
      <c r="D519" s="7" t="s">
        <v>1536</v>
      </c>
      <c r="E519" s="8" t="s">
        <v>1539</v>
      </c>
      <c r="F519" s="9" t="s">
        <v>1540</v>
      </c>
      <c r="G519" s="8" t="s">
        <v>1540</v>
      </c>
      <c r="H519" s="15"/>
      <c r="I519" s="15"/>
      <c r="J519" s="10"/>
      <c r="K519" s="10"/>
      <c r="L519" s="10"/>
      <c r="M519" s="11" t="str">
        <f aca="false">IF(COUNTA(J519:L519)&lt;3,"",IF(COUNTIF(J519:L519,"유지")=3,"채택","제외"))</f>
        <v/>
      </c>
      <c r="N519" s="12"/>
    </row>
    <row r="520" customFormat="false" ht="15" hidden="false" customHeight="false" outlineLevel="0" collapsed="false">
      <c r="A520" s="7" t="n">
        <v>519</v>
      </c>
      <c r="B520" s="7" t="s">
        <v>1025</v>
      </c>
      <c r="C520" s="7" t="s">
        <v>1491</v>
      </c>
      <c r="D520" s="7" t="s">
        <v>1541</v>
      </c>
      <c r="E520" s="8" t="s">
        <v>1542</v>
      </c>
      <c r="F520" s="9" t="s">
        <v>1543</v>
      </c>
      <c r="G520" s="8" t="s">
        <v>1543</v>
      </c>
      <c r="H520" s="15"/>
      <c r="I520" s="15"/>
      <c r="J520" s="10"/>
      <c r="K520" s="10"/>
      <c r="L520" s="10"/>
      <c r="M520" s="11" t="str">
        <f aca="false">IF(COUNTA(J520:L520)&lt;3,"",IF(COUNTIF(J520:L520,"유지")=3,"채택","제외"))</f>
        <v/>
      </c>
      <c r="N520" s="12"/>
    </row>
    <row r="521" customFormat="false" ht="15" hidden="false" customHeight="false" outlineLevel="0" collapsed="false">
      <c r="A521" s="7" t="n">
        <v>520</v>
      </c>
      <c r="B521" s="7" t="s">
        <v>1025</v>
      </c>
      <c r="C521" s="7" t="s">
        <v>1491</v>
      </c>
      <c r="D521" s="7" t="s">
        <v>1544</v>
      </c>
      <c r="E521" s="8" t="s">
        <v>1545</v>
      </c>
      <c r="F521" s="9" t="s">
        <v>1546</v>
      </c>
      <c r="G521" s="8" t="s">
        <v>1546</v>
      </c>
      <c r="H521" s="15"/>
      <c r="I521" s="15"/>
      <c r="J521" s="10"/>
      <c r="K521" s="10"/>
      <c r="L521" s="10"/>
      <c r="M521" s="11" t="str">
        <f aca="false">IF(COUNTA(J521:L521)&lt;3,"",IF(COUNTIF(J521:L521,"유지")=3,"채택","제외"))</f>
        <v/>
      </c>
      <c r="N521" s="12"/>
    </row>
    <row r="522" customFormat="false" ht="15" hidden="false" customHeight="false" outlineLevel="0" collapsed="false">
      <c r="A522" s="7" t="n">
        <v>521</v>
      </c>
      <c r="B522" s="7" t="s">
        <v>1025</v>
      </c>
      <c r="C522" s="7" t="s">
        <v>1491</v>
      </c>
      <c r="D522" s="7" t="s">
        <v>1547</v>
      </c>
      <c r="E522" s="8" t="s">
        <v>1548</v>
      </c>
      <c r="F522" s="9" t="s">
        <v>1549</v>
      </c>
      <c r="G522" s="8" t="s">
        <v>1549</v>
      </c>
      <c r="H522" s="13" t="s">
        <v>87</v>
      </c>
      <c r="I522" s="14"/>
      <c r="J522" s="10"/>
      <c r="K522" s="10"/>
      <c r="L522" s="10"/>
      <c r="M522" s="11" t="str">
        <f aca="false">IF(COUNTA(J522:L522)&lt;3,"",IF(COUNTIF(J522:L522,"유지")=3,"채택","제외"))</f>
        <v/>
      </c>
      <c r="N522" s="12"/>
    </row>
    <row r="523" customFormat="false" ht="15" hidden="false" customHeight="false" outlineLevel="0" collapsed="false">
      <c r="A523" s="7" t="n">
        <v>522</v>
      </c>
      <c r="B523" s="7" t="s">
        <v>1025</v>
      </c>
      <c r="C523" s="7" t="s">
        <v>1491</v>
      </c>
      <c r="D523" s="7" t="s">
        <v>1550</v>
      </c>
      <c r="E523" s="8" t="s">
        <v>1551</v>
      </c>
      <c r="F523" s="9" t="s">
        <v>1552</v>
      </c>
      <c r="G523" s="8" t="s">
        <v>1552</v>
      </c>
      <c r="H523" s="15"/>
      <c r="I523" s="15"/>
      <c r="J523" s="10"/>
      <c r="K523" s="10"/>
      <c r="L523" s="10"/>
      <c r="M523" s="11" t="str">
        <f aca="false">IF(COUNTA(J523:L523)&lt;3,"",IF(COUNTIF(J523:L523,"유지")=3,"채택","제외"))</f>
        <v/>
      </c>
      <c r="N523" s="12"/>
    </row>
    <row r="524" customFormat="false" ht="15" hidden="false" customHeight="false" outlineLevel="0" collapsed="false">
      <c r="A524" s="7" t="n">
        <v>523</v>
      </c>
      <c r="B524" s="7" t="s">
        <v>1025</v>
      </c>
      <c r="C524" s="7" t="s">
        <v>1491</v>
      </c>
      <c r="D524" s="7" t="s">
        <v>1553</v>
      </c>
      <c r="E524" s="8" t="s">
        <v>1554</v>
      </c>
      <c r="F524" s="9" t="s">
        <v>1555</v>
      </c>
      <c r="G524" s="8" t="s">
        <v>1556</v>
      </c>
      <c r="H524" s="15"/>
      <c r="I524" s="15"/>
      <c r="J524" s="10"/>
      <c r="K524" s="10"/>
      <c r="L524" s="10"/>
      <c r="M524" s="11" t="str">
        <f aca="false">IF(COUNTA(J524:L524)&lt;3,"",IF(COUNTIF(J524:L524,"유지")=3,"채택","제외"))</f>
        <v/>
      </c>
      <c r="N524" s="12"/>
    </row>
    <row r="525" customFormat="false" ht="15" hidden="false" customHeight="false" outlineLevel="0" collapsed="false">
      <c r="A525" s="7" t="n">
        <v>524</v>
      </c>
      <c r="B525" s="7" t="s">
        <v>1025</v>
      </c>
      <c r="C525" s="7" t="s">
        <v>1491</v>
      </c>
      <c r="D525" s="7" t="s">
        <v>1557</v>
      </c>
      <c r="E525" s="8" t="s">
        <v>1558</v>
      </c>
      <c r="F525" s="9" t="s">
        <v>1559</v>
      </c>
      <c r="G525" s="8" t="s">
        <v>1560</v>
      </c>
      <c r="H525" s="15"/>
      <c r="I525" s="15"/>
      <c r="J525" s="10"/>
      <c r="K525" s="10"/>
      <c r="L525" s="10"/>
      <c r="M525" s="11" t="str">
        <f aca="false">IF(COUNTA(J525:L525)&lt;3,"",IF(COUNTIF(J525:L525,"유지")=3,"채택","제외"))</f>
        <v/>
      </c>
      <c r="N525" s="12"/>
    </row>
    <row r="526" customFormat="false" ht="15" hidden="false" customHeight="false" outlineLevel="0" collapsed="false">
      <c r="A526" s="7" t="n">
        <v>525</v>
      </c>
      <c r="B526" s="7" t="s">
        <v>1025</v>
      </c>
      <c r="C526" s="7" t="s">
        <v>1491</v>
      </c>
      <c r="D526" s="7" t="s">
        <v>1561</v>
      </c>
      <c r="E526" s="8" t="s">
        <v>1562</v>
      </c>
      <c r="F526" s="9" t="s">
        <v>1563</v>
      </c>
      <c r="G526" s="8" t="s">
        <v>1564</v>
      </c>
      <c r="H526" s="15"/>
      <c r="I526" s="15"/>
      <c r="J526" s="10"/>
      <c r="K526" s="10"/>
      <c r="L526" s="10"/>
      <c r="M526" s="11" t="str">
        <f aca="false">IF(COUNTA(J526:L526)&lt;3,"",IF(COUNTIF(J526:L526,"유지")=3,"채택","제외"))</f>
        <v/>
      </c>
      <c r="N526" s="12"/>
    </row>
    <row r="527" customFormat="false" ht="15" hidden="false" customHeight="false" outlineLevel="0" collapsed="false">
      <c r="A527" s="7" t="n">
        <v>526</v>
      </c>
      <c r="B527" s="7" t="s">
        <v>1025</v>
      </c>
      <c r="C527" s="7" t="s">
        <v>1491</v>
      </c>
      <c r="D527" s="7" t="s">
        <v>1565</v>
      </c>
      <c r="E527" s="8" t="s">
        <v>1566</v>
      </c>
      <c r="F527" s="9" t="s">
        <v>1567</v>
      </c>
      <c r="G527" s="8" t="s">
        <v>1567</v>
      </c>
      <c r="H527" s="15"/>
      <c r="I527" s="15"/>
      <c r="J527" s="10"/>
      <c r="K527" s="10"/>
      <c r="L527" s="10"/>
      <c r="M527" s="11" t="str">
        <f aca="false">IF(COUNTA(J527:L527)&lt;3,"",IF(COUNTIF(J527:L527,"유지")=3,"채택","제외"))</f>
        <v/>
      </c>
      <c r="N527" s="12"/>
    </row>
    <row r="528" customFormat="false" ht="15" hidden="false" customHeight="false" outlineLevel="0" collapsed="false">
      <c r="A528" s="7" t="n">
        <v>527</v>
      </c>
      <c r="B528" s="7" t="s">
        <v>1025</v>
      </c>
      <c r="C528" s="7" t="s">
        <v>1491</v>
      </c>
      <c r="D528" s="7" t="s">
        <v>1568</v>
      </c>
      <c r="E528" s="8" t="s">
        <v>1569</v>
      </c>
      <c r="F528" s="9" t="s">
        <v>1570</v>
      </c>
      <c r="G528" s="8" t="s">
        <v>1570</v>
      </c>
      <c r="H528" s="13" t="s">
        <v>87</v>
      </c>
      <c r="I528" s="14"/>
      <c r="J528" s="10"/>
      <c r="K528" s="10"/>
      <c r="L528" s="10"/>
      <c r="M528" s="11" t="str">
        <f aca="false">IF(COUNTA(J528:L528)&lt;3,"",IF(COUNTIF(J528:L528,"유지")=3,"채택","제외"))</f>
        <v/>
      </c>
      <c r="N528" s="12"/>
    </row>
    <row r="529" customFormat="false" ht="15" hidden="false" customHeight="false" outlineLevel="0" collapsed="false">
      <c r="A529" s="7" t="n">
        <v>528</v>
      </c>
      <c r="B529" s="7" t="s">
        <v>1025</v>
      </c>
      <c r="C529" s="7" t="s">
        <v>1491</v>
      </c>
      <c r="D529" s="7" t="s">
        <v>1571</v>
      </c>
      <c r="E529" s="8" t="s">
        <v>1572</v>
      </c>
      <c r="F529" s="9" t="s">
        <v>1573</v>
      </c>
      <c r="G529" s="8" t="s">
        <v>1573</v>
      </c>
      <c r="H529" s="15"/>
      <c r="I529" s="15"/>
      <c r="J529" s="10"/>
      <c r="K529" s="10"/>
      <c r="L529" s="10"/>
      <c r="M529" s="11" t="str">
        <f aca="false">IF(COUNTA(J529:L529)&lt;3,"",IF(COUNTIF(J529:L529,"유지")=3,"채택","제외"))</f>
        <v/>
      </c>
      <c r="N529" s="12"/>
    </row>
    <row r="530" customFormat="false" ht="15" hidden="false" customHeight="false" outlineLevel="0" collapsed="false">
      <c r="A530" s="7" t="n">
        <v>529</v>
      </c>
      <c r="B530" s="7" t="s">
        <v>1025</v>
      </c>
      <c r="C530" s="7" t="s">
        <v>1491</v>
      </c>
      <c r="D530" s="7" t="s">
        <v>1574</v>
      </c>
      <c r="E530" s="8" t="s">
        <v>1569</v>
      </c>
      <c r="F530" s="9" t="s">
        <v>1570</v>
      </c>
      <c r="G530" s="8" t="s">
        <v>1570</v>
      </c>
      <c r="H530" s="13" t="s">
        <v>87</v>
      </c>
      <c r="I530" s="14"/>
      <c r="J530" s="10"/>
      <c r="K530" s="10"/>
      <c r="L530" s="10"/>
      <c r="M530" s="11" t="str">
        <f aca="false">IF(COUNTA(J530:L530)&lt;3,"",IF(COUNTIF(J530:L530,"유지")=3,"채택","제외"))</f>
        <v/>
      </c>
      <c r="N530" s="12"/>
    </row>
    <row r="531" customFormat="false" ht="15" hidden="false" customHeight="false" outlineLevel="0" collapsed="false">
      <c r="A531" s="7" t="n">
        <v>530</v>
      </c>
      <c r="B531" s="7" t="s">
        <v>1025</v>
      </c>
      <c r="C531" s="7" t="s">
        <v>1491</v>
      </c>
      <c r="D531" s="7" t="s">
        <v>1575</v>
      </c>
      <c r="E531" s="8" t="s">
        <v>1576</v>
      </c>
      <c r="F531" s="9" t="s">
        <v>1577</v>
      </c>
      <c r="G531" s="8" t="s">
        <v>1577</v>
      </c>
      <c r="H531" s="15"/>
      <c r="I531" s="15"/>
      <c r="J531" s="10"/>
      <c r="K531" s="10"/>
      <c r="L531" s="10"/>
      <c r="M531" s="11" t="str">
        <f aca="false">IF(COUNTA(J531:L531)&lt;3,"",IF(COUNTIF(J531:L531,"유지")=3,"채택","제외"))</f>
        <v/>
      </c>
      <c r="N531" s="12"/>
    </row>
    <row r="532" customFormat="false" ht="15" hidden="false" customHeight="false" outlineLevel="0" collapsed="false">
      <c r="A532" s="7" t="n">
        <v>531</v>
      </c>
      <c r="B532" s="7" t="s">
        <v>1025</v>
      </c>
      <c r="C532" s="7" t="s">
        <v>1491</v>
      </c>
      <c r="D532" s="7" t="s">
        <v>1578</v>
      </c>
      <c r="E532" s="8" t="s">
        <v>1579</v>
      </c>
      <c r="F532" s="9" t="s">
        <v>1580</v>
      </c>
      <c r="G532" s="8" t="s">
        <v>1580</v>
      </c>
      <c r="H532" s="15"/>
      <c r="I532" s="15"/>
      <c r="J532" s="10"/>
      <c r="K532" s="10"/>
      <c r="L532" s="10"/>
      <c r="M532" s="11" t="str">
        <f aca="false">IF(COUNTA(J532:L532)&lt;3,"",IF(COUNTIF(J532:L532,"유지")=3,"채택","제외"))</f>
        <v/>
      </c>
      <c r="N532" s="12"/>
    </row>
    <row r="533" customFormat="false" ht="15" hidden="false" customHeight="false" outlineLevel="0" collapsed="false">
      <c r="A533" s="7" t="n">
        <v>532</v>
      </c>
      <c r="B533" s="7" t="s">
        <v>1025</v>
      </c>
      <c r="C533" s="7" t="s">
        <v>1491</v>
      </c>
      <c r="D533" s="7" t="s">
        <v>1581</v>
      </c>
      <c r="E533" s="8" t="s">
        <v>1548</v>
      </c>
      <c r="F533" s="9" t="s">
        <v>1549</v>
      </c>
      <c r="G533" s="8" t="s">
        <v>1549</v>
      </c>
      <c r="H533" s="13" t="s">
        <v>87</v>
      </c>
      <c r="I533" s="14"/>
      <c r="J533" s="10"/>
      <c r="K533" s="10"/>
      <c r="L533" s="10"/>
      <c r="M533" s="11" t="str">
        <f aca="false">IF(COUNTA(J533:L533)&lt;3,"",IF(COUNTIF(J533:L533,"유지")=3,"채택","제외"))</f>
        <v/>
      </c>
      <c r="N533" s="12"/>
    </row>
    <row r="534" customFormat="false" ht="15" hidden="false" customHeight="false" outlineLevel="0" collapsed="false">
      <c r="A534" s="7" t="n">
        <v>533</v>
      </c>
      <c r="B534" s="7" t="s">
        <v>1025</v>
      </c>
      <c r="C534" s="7" t="s">
        <v>1491</v>
      </c>
      <c r="D534" s="7" t="s">
        <v>1582</v>
      </c>
      <c r="E534" s="8" t="s">
        <v>1583</v>
      </c>
      <c r="F534" s="9" t="s">
        <v>1584</v>
      </c>
      <c r="G534" s="8" t="s">
        <v>1584</v>
      </c>
      <c r="H534" s="15"/>
      <c r="I534" s="15"/>
      <c r="J534" s="10"/>
      <c r="K534" s="10"/>
      <c r="L534" s="10"/>
      <c r="M534" s="11" t="str">
        <f aca="false">IF(COUNTA(J534:L534)&lt;3,"",IF(COUNTIF(J534:L534,"유지")=3,"채택","제외"))</f>
        <v/>
      </c>
      <c r="N534" s="12"/>
    </row>
    <row r="535" customFormat="false" ht="15" hidden="false" customHeight="false" outlineLevel="0" collapsed="false">
      <c r="A535" s="7" t="n">
        <v>534</v>
      </c>
      <c r="B535" s="7" t="s">
        <v>1025</v>
      </c>
      <c r="C535" s="7" t="s">
        <v>1491</v>
      </c>
      <c r="D535" s="7" t="s">
        <v>1585</v>
      </c>
      <c r="E535" s="8" t="s">
        <v>1548</v>
      </c>
      <c r="F535" s="9" t="s">
        <v>1549</v>
      </c>
      <c r="G535" s="8" t="s">
        <v>1549</v>
      </c>
      <c r="H535" s="13" t="s">
        <v>87</v>
      </c>
      <c r="I535" s="14"/>
      <c r="J535" s="10"/>
      <c r="K535" s="10"/>
      <c r="L535" s="10"/>
      <c r="M535" s="11" t="str">
        <f aca="false">IF(COUNTA(J535:L535)&lt;3,"",IF(COUNTIF(J535:L535,"유지")=3,"채택","제외"))</f>
        <v/>
      </c>
      <c r="N535" s="12"/>
    </row>
    <row r="536" customFormat="false" ht="15" hidden="false" customHeight="false" outlineLevel="0" collapsed="false">
      <c r="A536" s="7" t="n">
        <v>535</v>
      </c>
      <c r="B536" s="7" t="s">
        <v>1025</v>
      </c>
      <c r="C536" s="7" t="s">
        <v>1491</v>
      </c>
      <c r="D536" s="7" t="s">
        <v>1586</v>
      </c>
      <c r="E536" s="8" t="s">
        <v>1587</v>
      </c>
      <c r="F536" s="9" t="s">
        <v>1588</v>
      </c>
      <c r="G536" s="8" t="s">
        <v>1589</v>
      </c>
      <c r="H536" s="15"/>
      <c r="I536" s="15"/>
      <c r="J536" s="10"/>
      <c r="K536" s="10"/>
      <c r="L536" s="10"/>
      <c r="M536" s="11" t="str">
        <f aca="false">IF(COUNTA(J536:L536)&lt;3,"",IF(COUNTIF(J536:L536,"유지")=3,"채택","제외"))</f>
        <v/>
      </c>
      <c r="N536" s="12"/>
    </row>
    <row r="537" customFormat="false" ht="15" hidden="false" customHeight="false" outlineLevel="0" collapsed="false">
      <c r="A537" s="7" t="n">
        <v>536</v>
      </c>
      <c r="B537" s="7" t="s">
        <v>1025</v>
      </c>
      <c r="C537" s="7" t="s">
        <v>1491</v>
      </c>
      <c r="D537" s="7" t="s">
        <v>1590</v>
      </c>
      <c r="E537" s="8" t="s">
        <v>1591</v>
      </c>
      <c r="F537" s="9" t="s">
        <v>1592</v>
      </c>
      <c r="G537" s="8" t="s">
        <v>1592</v>
      </c>
      <c r="H537" s="13" t="s">
        <v>87</v>
      </c>
      <c r="I537" s="14"/>
      <c r="J537" s="10"/>
      <c r="K537" s="10"/>
      <c r="L537" s="10"/>
      <c r="M537" s="11" t="str">
        <f aca="false">IF(COUNTA(J537:L537)&lt;3,"",IF(COUNTIF(J537:L537,"유지")=3,"채택","제외"))</f>
        <v/>
      </c>
      <c r="N537" s="12"/>
    </row>
    <row r="538" customFormat="false" ht="15" hidden="false" customHeight="false" outlineLevel="0" collapsed="false">
      <c r="A538" s="7" t="n">
        <v>537</v>
      </c>
      <c r="B538" s="7" t="s">
        <v>1025</v>
      </c>
      <c r="C538" s="7" t="s">
        <v>1491</v>
      </c>
      <c r="D538" s="7" t="s">
        <v>1593</v>
      </c>
      <c r="E538" s="8" t="s">
        <v>1548</v>
      </c>
      <c r="F538" s="9" t="s">
        <v>1549</v>
      </c>
      <c r="G538" s="8" t="s">
        <v>1549</v>
      </c>
      <c r="H538" s="13" t="s">
        <v>87</v>
      </c>
      <c r="I538" s="14"/>
      <c r="J538" s="10"/>
      <c r="K538" s="10"/>
      <c r="L538" s="10"/>
      <c r="M538" s="11" t="str">
        <f aca="false">IF(COUNTA(J538:L538)&lt;3,"",IF(COUNTIF(J538:L538,"유지")=3,"채택","제외"))</f>
        <v/>
      </c>
      <c r="N538" s="12"/>
    </row>
    <row r="539" customFormat="false" ht="15" hidden="false" customHeight="false" outlineLevel="0" collapsed="false">
      <c r="A539" s="7" t="n">
        <v>538</v>
      </c>
      <c r="B539" s="7" t="s">
        <v>1025</v>
      </c>
      <c r="C539" s="7" t="s">
        <v>1491</v>
      </c>
      <c r="D539" s="7" t="s">
        <v>1594</v>
      </c>
      <c r="E539" s="8" t="s">
        <v>1595</v>
      </c>
      <c r="F539" s="9" t="s">
        <v>1596</v>
      </c>
      <c r="G539" s="8" t="s">
        <v>1596</v>
      </c>
      <c r="H539" s="15"/>
      <c r="I539" s="15"/>
      <c r="J539" s="10"/>
      <c r="K539" s="10"/>
      <c r="L539" s="10"/>
      <c r="M539" s="11" t="str">
        <f aca="false">IF(COUNTA(J539:L539)&lt;3,"",IF(COUNTIF(J539:L539,"유지")=3,"채택","제외"))</f>
        <v/>
      </c>
      <c r="N539" s="12"/>
    </row>
    <row r="540" customFormat="false" ht="15" hidden="false" customHeight="false" outlineLevel="0" collapsed="false">
      <c r="A540" s="7" t="n">
        <v>539</v>
      </c>
      <c r="B540" s="7" t="s">
        <v>1025</v>
      </c>
      <c r="C540" s="7" t="s">
        <v>1491</v>
      </c>
      <c r="D540" s="7" t="s">
        <v>1597</v>
      </c>
      <c r="E540" s="8" t="s">
        <v>1132</v>
      </c>
      <c r="F540" s="9" t="s">
        <v>1133</v>
      </c>
      <c r="G540" s="8" t="s">
        <v>1133</v>
      </c>
      <c r="H540" s="13" t="s">
        <v>87</v>
      </c>
      <c r="I540" s="14"/>
      <c r="J540" s="10"/>
      <c r="K540" s="10"/>
      <c r="L540" s="10"/>
      <c r="M540" s="11" t="str">
        <f aca="false">IF(COUNTA(J540:L540)&lt;3,"",IF(COUNTIF(J540:L540,"유지")=3,"채택","제외"))</f>
        <v/>
      </c>
      <c r="N540" s="12"/>
    </row>
    <row r="541" customFormat="false" ht="15" hidden="false" customHeight="false" outlineLevel="0" collapsed="false">
      <c r="A541" s="7" t="n">
        <v>540</v>
      </c>
      <c r="B541" s="7" t="s">
        <v>1025</v>
      </c>
      <c r="C541" s="7" t="s">
        <v>1491</v>
      </c>
      <c r="D541" s="7" t="s">
        <v>1598</v>
      </c>
      <c r="E541" s="8" t="s">
        <v>1501</v>
      </c>
      <c r="F541" s="9" t="s">
        <v>1502</v>
      </c>
      <c r="G541" s="8" t="s">
        <v>1502</v>
      </c>
      <c r="H541" s="13" t="s">
        <v>87</v>
      </c>
      <c r="I541" s="14"/>
      <c r="J541" s="10"/>
      <c r="K541" s="10"/>
      <c r="L541" s="10"/>
      <c r="M541" s="11" t="str">
        <f aca="false">IF(COUNTA(J541:L541)&lt;3,"",IF(COUNTIF(J541:L541,"유지")=3,"채택","제외"))</f>
        <v/>
      </c>
      <c r="N541" s="12"/>
    </row>
    <row r="542" customFormat="false" ht="15" hidden="false" customHeight="false" outlineLevel="0" collapsed="false">
      <c r="A542" s="7" t="n">
        <v>541</v>
      </c>
      <c r="B542" s="7" t="s">
        <v>1025</v>
      </c>
      <c r="C542" s="7" t="s">
        <v>1491</v>
      </c>
      <c r="D542" s="7" t="s">
        <v>1599</v>
      </c>
      <c r="E542" s="8" t="s">
        <v>1600</v>
      </c>
      <c r="F542" s="9" t="s">
        <v>1601</v>
      </c>
      <c r="G542" s="8" t="s">
        <v>1601</v>
      </c>
      <c r="H542" s="15"/>
      <c r="I542" s="15"/>
      <c r="J542" s="10"/>
      <c r="K542" s="10"/>
      <c r="L542" s="10"/>
      <c r="M542" s="11" t="str">
        <f aca="false">IF(COUNTA(J542:L542)&lt;3,"",IF(COUNTIF(J542:L542,"유지")=3,"채택","제외"))</f>
        <v/>
      </c>
      <c r="N542" s="12"/>
    </row>
    <row r="543" customFormat="false" ht="15" hidden="false" customHeight="false" outlineLevel="0" collapsed="false">
      <c r="A543" s="7" t="n">
        <v>542</v>
      </c>
      <c r="B543" s="7" t="s">
        <v>1025</v>
      </c>
      <c r="C543" s="7" t="s">
        <v>1491</v>
      </c>
      <c r="D543" s="7" t="s">
        <v>1602</v>
      </c>
      <c r="E543" s="8" t="s">
        <v>1548</v>
      </c>
      <c r="F543" s="9" t="s">
        <v>1549</v>
      </c>
      <c r="G543" s="8" t="s">
        <v>1549</v>
      </c>
      <c r="H543" s="13" t="s">
        <v>87</v>
      </c>
      <c r="I543" s="14"/>
      <c r="J543" s="10"/>
      <c r="K543" s="10"/>
      <c r="L543" s="10"/>
      <c r="M543" s="11" t="str">
        <f aca="false">IF(COUNTA(J543:L543)&lt;3,"",IF(COUNTIF(J543:L543,"유지")=3,"채택","제외"))</f>
        <v/>
      </c>
      <c r="N543" s="12"/>
    </row>
    <row r="544" customFormat="false" ht="15" hidden="false" customHeight="false" outlineLevel="0" collapsed="false">
      <c r="A544" s="7" t="n">
        <v>543</v>
      </c>
      <c r="B544" s="7" t="s">
        <v>1025</v>
      </c>
      <c r="C544" s="7" t="s">
        <v>1491</v>
      </c>
      <c r="D544" s="7" t="s">
        <v>1603</v>
      </c>
      <c r="E544" s="8" t="s">
        <v>1452</v>
      </c>
      <c r="F544" s="9" t="s">
        <v>1453</v>
      </c>
      <c r="G544" s="8" t="s">
        <v>1453</v>
      </c>
      <c r="H544" s="13" t="s">
        <v>87</v>
      </c>
      <c r="I544" s="14"/>
      <c r="J544" s="10"/>
      <c r="K544" s="10"/>
      <c r="L544" s="10"/>
      <c r="M544" s="11" t="str">
        <f aca="false">IF(COUNTA(J544:L544)&lt;3,"",IF(COUNTIF(J544:L544,"유지")=3,"채택","제외"))</f>
        <v/>
      </c>
      <c r="N544" s="12"/>
    </row>
    <row r="545" customFormat="false" ht="15" hidden="false" customHeight="false" outlineLevel="0" collapsed="false">
      <c r="A545" s="7" t="n">
        <v>544</v>
      </c>
      <c r="B545" s="7" t="s">
        <v>1025</v>
      </c>
      <c r="C545" s="7" t="s">
        <v>1491</v>
      </c>
      <c r="D545" s="7" t="s">
        <v>1604</v>
      </c>
      <c r="E545" s="8" t="s">
        <v>1605</v>
      </c>
      <c r="F545" s="9" t="s">
        <v>1606</v>
      </c>
      <c r="G545" s="8" t="s">
        <v>1606</v>
      </c>
      <c r="H545" s="15"/>
      <c r="I545" s="15"/>
      <c r="J545" s="10"/>
      <c r="K545" s="10"/>
      <c r="L545" s="10"/>
      <c r="M545" s="11" t="str">
        <f aca="false">IF(COUNTA(J545:L545)&lt;3,"",IF(COUNTIF(J545:L545,"유지")=3,"채택","제외"))</f>
        <v/>
      </c>
      <c r="N545" s="12"/>
    </row>
    <row r="546" customFormat="false" ht="15" hidden="false" customHeight="false" outlineLevel="0" collapsed="false">
      <c r="A546" s="7" t="n">
        <v>545</v>
      </c>
      <c r="B546" s="7" t="s">
        <v>1025</v>
      </c>
      <c r="C546" s="7" t="s">
        <v>1491</v>
      </c>
      <c r="D546" s="7" t="s">
        <v>1607</v>
      </c>
      <c r="E546" s="8" t="s">
        <v>1608</v>
      </c>
      <c r="F546" s="9" t="s">
        <v>1609</v>
      </c>
      <c r="G546" s="8" t="s">
        <v>1610</v>
      </c>
      <c r="H546" s="13" t="s">
        <v>74</v>
      </c>
      <c r="I546" s="14"/>
      <c r="J546" s="10"/>
      <c r="K546" s="10"/>
      <c r="L546" s="10"/>
      <c r="M546" s="11" t="str">
        <f aca="false">IF(COUNTA(J546:L546)&lt;3,"",IF(COUNTIF(J546:L546,"유지")=3,"채택","제외"))</f>
        <v/>
      </c>
      <c r="N546" s="12"/>
    </row>
    <row r="547" customFormat="false" ht="15" hidden="false" customHeight="false" outlineLevel="0" collapsed="false">
      <c r="A547" s="7" t="n">
        <v>546</v>
      </c>
      <c r="B547" s="7" t="s">
        <v>1025</v>
      </c>
      <c r="C547" s="7" t="s">
        <v>1491</v>
      </c>
      <c r="D547" s="7" t="s">
        <v>1611</v>
      </c>
      <c r="E547" s="8" t="s">
        <v>1612</v>
      </c>
      <c r="F547" s="9" t="s">
        <v>1613</v>
      </c>
      <c r="G547" s="8" t="s">
        <v>1613</v>
      </c>
      <c r="H547" s="15"/>
      <c r="I547" s="15"/>
      <c r="J547" s="10"/>
      <c r="K547" s="10"/>
      <c r="L547" s="10"/>
      <c r="M547" s="11" t="str">
        <f aca="false">IF(COUNTA(J547:L547)&lt;3,"",IF(COUNTIF(J547:L547,"유지")=3,"채택","제외"))</f>
        <v/>
      </c>
      <c r="N547" s="12"/>
    </row>
    <row r="548" customFormat="false" ht="26.85" hidden="false" customHeight="false" outlineLevel="0" collapsed="false">
      <c r="A548" s="7" t="n">
        <v>547</v>
      </c>
      <c r="B548" s="7" t="s">
        <v>1025</v>
      </c>
      <c r="C548" s="7" t="s">
        <v>1491</v>
      </c>
      <c r="D548" s="7" t="s">
        <v>1614</v>
      </c>
      <c r="E548" s="8" t="s">
        <v>43</v>
      </c>
      <c r="F548" s="9" t="s">
        <v>44</v>
      </c>
      <c r="G548" s="8" t="s">
        <v>44</v>
      </c>
      <c r="H548" s="13" t="s">
        <v>45</v>
      </c>
      <c r="I548" s="14" t="s">
        <v>46</v>
      </c>
      <c r="J548" s="10"/>
      <c r="K548" s="10"/>
      <c r="L548" s="10"/>
      <c r="M548" s="11" t="str">
        <f aca="false">IF(COUNTA(J548:L548)&lt;3,"",IF(COUNTIF(J548:L548,"유지")=3,"채택","제외"))</f>
        <v/>
      </c>
      <c r="N548" s="12"/>
    </row>
    <row r="549" customFormat="false" ht="15" hidden="false" customHeight="false" outlineLevel="0" collapsed="false">
      <c r="A549" s="7" t="n">
        <v>548</v>
      </c>
      <c r="B549" s="7" t="s">
        <v>1025</v>
      </c>
      <c r="C549" s="7" t="s">
        <v>1491</v>
      </c>
      <c r="D549" s="7" t="s">
        <v>1615</v>
      </c>
      <c r="E549" s="8" t="s">
        <v>1616</v>
      </c>
      <c r="F549" s="9" t="s">
        <v>1617</v>
      </c>
      <c r="G549" s="8" t="s">
        <v>1617</v>
      </c>
      <c r="H549" s="15"/>
      <c r="I549" s="15"/>
      <c r="J549" s="10"/>
      <c r="K549" s="10"/>
      <c r="L549" s="10"/>
      <c r="M549" s="11" t="str">
        <f aca="false">IF(COUNTA(J549:L549)&lt;3,"",IF(COUNTIF(J549:L549,"유지")=3,"채택","제외"))</f>
        <v/>
      </c>
      <c r="N549" s="12"/>
    </row>
    <row r="550" customFormat="false" ht="15" hidden="false" customHeight="false" outlineLevel="0" collapsed="false">
      <c r="A550" s="7" t="n">
        <v>549</v>
      </c>
      <c r="B550" s="7" t="s">
        <v>1025</v>
      </c>
      <c r="C550" s="7" t="s">
        <v>1491</v>
      </c>
      <c r="D550" s="7" t="s">
        <v>1618</v>
      </c>
      <c r="E550" s="8" t="s">
        <v>1619</v>
      </c>
      <c r="F550" s="9" t="s">
        <v>1620</v>
      </c>
      <c r="G550" s="8" t="s">
        <v>1620</v>
      </c>
      <c r="H550" s="13" t="s">
        <v>87</v>
      </c>
      <c r="I550" s="14"/>
      <c r="J550" s="10"/>
      <c r="K550" s="10"/>
      <c r="L550" s="10"/>
      <c r="M550" s="11" t="str">
        <f aca="false">IF(COUNTA(J550:L550)&lt;3,"",IF(COUNTIF(J550:L550,"유지")=3,"채택","제외"))</f>
        <v/>
      </c>
      <c r="N550" s="12"/>
    </row>
    <row r="551" customFormat="false" ht="15" hidden="false" customHeight="false" outlineLevel="0" collapsed="false">
      <c r="A551" s="7" t="n">
        <v>550</v>
      </c>
      <c r="B551" s="7" t="s">
        <v>1025</v>
      </c>
      <c r="C551" s="7" t="s">
        <v>1491</v>
      </c>
      <c r="D551" s="7" t="s">
        <v>1621</v>
      </c>
      <c r="E551" s="8" t="s">
        <v>1622</v>
      </c>
      <c r="F551" s="9" t="s">
        <v>1623</v>
      </c>
      <c r="G551" s="8" t="s">
        <v>1624</v>
      </c>
      <c r="H551" s="15"/>
      <c r="I551" s="15"/>
      <c r="J551" s="10"/>
      <c r="K551" s="10"/>
      <c r="L551" s="10"/>
      <c r="M551" s="11" t="str">
        <f aca="false">IF(COUNTA(J551:L551)&lt;3,"",IF(COUNTIF(J551:L551,"유지")=3,"채택","제외"))</f>
        <v/>
      </c>
      <c r="N551" s="12"/>
    </row>
    <row r="552" customFormat="false" ht="15" hidden="false" customHeight="false" outlineLevel="0" collapsed="false">
      <c r="A552" s="7" t="n">
        <v>551</v>
      </c>
      <c r="B552" s="7" t="s">
        <v>1025</v>
      </c>
      <c r="C552" s="7" t="s">
        <v>1491</v>
      </c>
      <c r="D552" s="7" t="s">
        <v>1625</v>
      </c>
      <c r="E552" s="8" t="s">
        <v>1626</v>
      </c>
      <c r="F552" s="9" t="s">
        <v>1627</v>
      </c>
      <c r="G552" s="8" t="s">
        <v>1628</v>
      </c>
      <c r="H552" s="15"/>
      <c r="I552" s="15"/>
      <c r="J552" s="10"/>
      <c r="K552" s="10"/>
      <c r="L552" s="10"/>
      <c r="M552" s="11" t="str">
        <f aca="false">IF(COUNTA(J552:L552)&lt;3,"",IF(COUNTIF(J552:L552,"유지")=3,"채택","제외"))</f>
        <v/>
      </c>
      <c r="N552" s="12"/>
    </row>
    <row r="553" customFormat="false" ht="15" hidden="false" customHeight="false" outlineLevel="0" collapsed="false">
      <c r="A553" s="7" t="n">
        <v>552</v>
      </c>
      <c r="B553" s="7" t="s">
        <v>1025</v>
      </c>
      <c r="C553" s="7" t="s">
        <v>1491</v>
      </c>
      <c r="D553" s="7" t="s">
        <v>1629</v>
      </c>
      <c r="E553" s="8" t="s">
        <v>1630</v>
      </c>
      <c r="F553" s="9" t="s">
        <v>1631</v>
      </c>
      <c r="G553" s="8" t="s">
        <v>1632</v>
      </c>
      <c r="H553" s="13" t="s">
        <v>87</v>
      </c>
      <c r="I553" s="14"/>
      <c r="J553" s="10"/>
      <c r="K553" s="10"/>
      <c r="L553" s="10"/>
      <c r="M553" s="11" t="str">
        <f aca="false">IF(COUNTA(J553:L553)&lt;3,"",IF(COUNTIF(J553:L553,"유지")=3,"채택","제외"))</f>
        <v/>
      </c>
      <c r="N553" s="12"/>
    </row>
    <row r="554" customFormat="false" ht="15" hidden="false" customHeight="false" outlineLevel="0" collapsed="false">
      <c r="A554" s="7" t="n">
        <v>553</v>
      </c>
      <c r="B554" s="7" t="s">
        <v>1025</v>
      </c>
      <c r="C554" s="7" t="s">
        <v>1491</v>
      </c>
      <c r="D554" s="7" t="s">
        <v>1633</v>
      </c>
      <c r="E554" s="8" t="s">
        <v>1634</v>
      </c>
      <c r="F554" s="9" t="s">
        <v>1635</v>
      </c>
      <c r="G554" s="8" t="s">
        <v>1635</v>
      </c>
      <c r="H554" s="15"/>
      <c r="I554" s="15"/>
      <c r="J554" s="10"/>
      <c r="K554" s="10"/>
      <c r="L554" s="10"/>
      <c r="M554" s="11" t="str">
        <f aca="false">IF(COUNTA(J554:L554)&lt;3,"",IF(COUNTIF(J554:L554,"유지")=3,"채택","제외"))</f>
        <v/>
      </c>
      <c r="N554" s="12"/>
    </row>
    <row r="555" customFormat="false" ht="29.85" hidden="false" customHeight="false" outlineLevel="0" collapsed="false">
      <c r="A555" s="7" t="n">
        <v>554</v>
      </c>
      <c r="B555" s="7" t="s">
        <v>1025</v>
      </c>
      <c r="C555" s="7" t="s">
        <v>1491</v>
      </c>
      <c r="D555" s="7" t="s">
        <v>1636</v>
      </c>
      <c r="E555" s="8" t="s">
        <v>1637</v>
      </c>
      <c r="F555" s="9" t="s">
        <v>1638</v>
      </c>
      <c r="G555" s="8" t="s">
        <v>1638</v>
      </c>
      <c r="H555" s="13" t="s">
        <v>74</v>
      </c>
      <c r="I555" s="14" t="s">
        <v>1639</v>
      </c>
      <c r="J555" s="10"/>
      <c r="K555" s="10"/>
      <c r="L555" s="10"/>
      <c r="M555" s="11" t="str">
        <f aca="false">IF(COUNTA(J555:L555)&lt;3,"",IF(COUNTIF(J555:L555,"유지")=3,"채택","제외"))</f>
        <v/>
      </c>
      <c r="N555" s="12"/>
    </row>
    <row r="556" customFormat="false" ht="15" hidden="false" customHeight="false" outlineLevel="0" collapsed="false">
      <c r="A556" s="7" t="n">
        <v>555</v>
      </c>
      <c r="B556" s="7" t="s">
        <v>1025</v>
      </c>
      <c r="C556" s="7" t="s">
        <v>1491</v>
      </c>
      <c r="D556" s="7" t="s">
        <v>1640</v>
      </c>
      <c r="E556" s="8" t="s">
        <v>1501</v>
      </c>
      <c r="F556" s="9" t="s">
        <v>1502</v>
      </c>
      <c r="G556" s="8" t="s">
        <v>1502</v>
      </c>
      <c r="H556" s="13" t="s">
        <v>87</v>
      </c>
      <c r="I556" s="14"/>
      <c r="J556" s="10"/>
      <c r="K556" s="10"/>
      <c r="L556" s="10"/>
      <c r="M556" s="11" t="str">
        <f aca="false">IF(COUNTA(J556:L556)&lt;3,"",IF(COUNTIF(J556:L556,"유지")=3,"채택","제외"))</f>
        <v/>
      </c>
      <c r="N556" s="12"/>
    </row>
    <row r="557" customFormat="false" ht="15" hidden="false" customHeight="false" outlineLevel="0" collapsed="false">
      <c r="A557" s="7" t="n">
        <v>556</v>
      </c>
      <c r="B557" s="7" t="s">
        <v>1025</v>
      </c>
      <c r="C557" s="7" t="s">
        <v>1491</v>
      </c>
      <c r="D557" s="7" t="s">
        <v>1641</v>
      </c>
      <c r="E557" s="8" t="s">
        <v>1642</v>
      </c>
      <c r="F557" s="9" t="s">
        <v>1643</v>
      </c>
      <c r="G557" s="8" t="s">
        <v>1643</v>
      </c>
      <c r="H557" s="15"/>
      <c r="I557" s="15"/>
      <c r="J557" s="10"/>
      <c r="K557" s="10"/>
      <c r="L557" s="10"/>
      <c r="M557" s="11" t="str">
        <f aca="false">IF(COUNTA(J557:L557)&lt;3,"",IF(COUNTIF(J557:L557,"유지")=3,"채택","제외"))</f>
        <v/>
      </c>
      <c r="N557" s="12"/>
    </row>
    <row r="558" customFormat="false" ht="15" hidden="false" customHeight="false" outlineLevel="0" collapsed="false">
      <c r="A558" s="7" t="n">
        <v>557</v>
      </c>
      <c r="B558" s="7" t="s">
        <v>1025</v>
      </c>
      <c r="C558" s="7" t="s">
        <v>1644</v>
      </c>
      <c r="D558" s="7" t="s">
        <v>1644</v>
      </c>
      <c r="E558" s="8" t="s">
        <v>1645</v>
      </c>
      <c r="F558" s="9" t="s">
        <v>1646</v>
      </c>
      <c r="G558" s="8" t="s">
        <v>1646</v>
      </c>
      <c r="H558" s="15"/>
      <c r="I558" s="15"/>
      <c r="J558" s="10"/>
      <c r="K558" s="10"/>
      <c r="L558" s="10"/>
      <c r="M558" s="11" t="str">
        <f aca="false">IF(COUNTA(J558:L558)&lt;3,"",IF(COUNTIF(J558:L558,"유지")=3,"채택","제외"))</f>
        <v/>
      </c>
      <c r="N558" s="12"/>
    </row>
    <row r="559" customFormat="false" ht="29.85" hidden="false" customHeight="false" outlineLevel="0" collapsed="false">
      <c r="A559" s="7" t="n">
        <v>558</v>
      </c>
      <c r="B559" s="7" t="s">
        <v>1025</v>
      </c>
      <c r="C559" s="7" t="s">
        <v>1644</v>
      </c>
      <c r="D559" s="7" t="s">
        <v>1647</v>
      </c>
      <c r="E559" s="8" t="s">
        <v>1648</v>
      </c>
      <c r="F559" s="9" t="s">
        <v>1649</v>
      </c>
      <c r="G559" s="8" t="s">
        <v>1650</v>
      </c>
      <c r="H559" s="13" t="s">
        <v>74</v>
      </c>
      <c r="I559" s="14"/>
      <c r="J559" s="10"/>
      <c r="K559" s="10"/>
      <c r="L559" s="10"/>
      <c r="M559" s="11" t="str">
        <f aca="false">IF(COUNTA(J559:L559)&lt;3,"",IF(COUNTIF(J559:L559,"유지")=3,"채택","제외"))</f>
        <v/>
      </c>
      <c r="N559" s="12"/>
    </row>
    <row r="560" customFormat="false" ht="15" hidden="false" customHeight="false" outlineLevel="0" collapsed="false">
      <c r="A560" s="7" t="n">
        <v>559</v>
      </c>
      <c r="B560" s="7" t="s">
        <v>1025</v>
      </c>
      <c r="C560" s="7" t="s">
        <v>1644</v>
      </c>
      <c r="D560" s="7" t="s">
        <v>1651</v>
      </c>
      <c r="E560" s="8" t="s">
        <v>1652</v>
      </c>
      <c r="F560" s="9" t="s">
        <v>1653</v>
      </c>
      <c r="G560" s="8" t="s">
        <v>1654</v>
      </c>
      <c r="H560" s="15"/>
      <c r="I560" s="15"/>
      <c r="J560" s="10"/>
      <c r="K560" s="10"/>
      <c r="L560" s="10"/>
      <c r="M560" s="11" t="str">
        <f aca="false">IF(COUNTA(J560:L560)&lt;3,"",IF(COUNTIF(J560:L560,"유지")=3,"채택","제외"))</f>
        <v/>
      </c>
      <c r="N560" s="12"/>
    </row>
    <row r="561" customFormat="false" ht="29.85" hidden="false" customHeight="false" outlineLevel="0" collapsed="false">
      <c r="A561" s="7" t="n">
        <v>560</v>
      </c>
      <c r="B561" s="7" t="s">
        <v>1025</v>
      </c>
      <c r="C561" s="7" t="s">
        <v>1644</v>
      </c>
      <c r="D561" s="7" t="s">
        <v>1655</v>
      </c>
      <c r="E561" s="8" t="s">
        <v>1656</v>
      </c>
      <c r="F561" s="9" t="s">
        <v>1657</v>
      </c>
      <c r="G561" s="8" t="s">
        <v>1658</v>
      </c>
      <c r="H561" s="13" t="s">
        <v>74</v>
      </c>
      <c r="I561" s="14"/>
      <c r="J561" s="10"/>
      <c r="K561" s="10"/>
      <c r="L561" s="10"/>
      <c r="M561" s="11" t="str">
        <f aca="false">IF(COUNTA(J561:L561)&lt;3,"",IF(COUNTIF(J561:L561,"유지")=3,"채택","제외"))</f>
        <v/>
      </c>
      <c r="N561" s="12"/>
    </row>
    <row r="562" customFormat="false" ht="15" hidden="false" customHeight="false" outlineLevel="0" collapsed="false">
      <c r="A562" s="7" t="n">
        <v>561</v>
      </c>
      <c r="B562" s="7" t="s">
        <v>1025</v>
      </c>
      <c r="C562" s="7" t="s">
        <v>1644</v>
      </c>
      <c r="D562" s="7" t="s">
        <v>1659</v>
      </c>
      <c r="E562" s="8" t="s">
        <v>1660</v>
      </c>
      <c r="F562" s="9" t="s">
        <v>1661</v>
      </c>
      <c r="G562" s="8" t="s">
        <v>1661</v>
      </c>
      <c r="H562" s="13" t="s">
        <v>87</v>
      </c>
      <c r="I562" s="14"/>
      <c r="J562" s="10"/>
      <c r="K562" s="10"/>
      <c r="L562" s="10"/>
      <c r="M562" s="11" t="str">
        <f aca="false">IF(COUNTA(J562:L562)&lt;3,"",IF(COUNTIF(J562:L562,"유지")=3,"채택","제외"))</f>
        <v/>
      </c>
      <c r="N562" s="12"/>
    </row>
    <row r="563" customFormat="false" ht="15" hidden="false" customHeight="false" outlineLevel="0" collapsed="false">
      <c r="A563" s="7" t="n">
        <v>562</v>
      </c>
      <c r="B563" s="7" t="s">
        <v>1025</v>
      </c>
      <c r="C563" s="7" t="s">
        <v>1644</v>
      </c>
      <c r="D563" s="7" t="s">
        <v>1662</v>
      </c>
      <c r="E563" s="8" t="s">
        <v>1663</v>
      </c>
      <c r="F563" s="9" t="s">
        <v>1664</v>
      </c>
      <c r="G563" s="8" t="s">
        <v>1665</v>
      </c>
      <c r="H563" s="15"/>
      <c r="I563" s="15"/>
      <c r="J563" s="10"/>
      <c r="K563" s="10"/>
      <c r="L563" s="10"/>
      <c r="M563" s="11" t="str">
        <f aca="false">IF(COUNTA(J563:L563)&lt;3,"",IF(COUNTIF(J563:L563,"유지")=3,"채택","제외"))</f>
        <v/>
      </c>
      <c r="N563" s="12"/>
    </row>
    <row r="564" customFormat="false" ht="15" hidden="false" customHeight="false" outlineLevel="0" collapsed="false">
      <c r="A564" s="7" t="n">
        <v>563</v>
      </c>
      <c r="B564" s="7" t="s">
        <v>1025</v>
      </c>
      <c r="C564" s="7" t="s">
        <v>1644</v>
      </c>
      <c r="D564" s="7" t="s">
        <v>1662</v>
      </c>
      <c r="E564" s="8" t="s">
        <v>1666</v>
      </c>
      <c r="F564" s="9" t="s">
        <v>1667</v>
      </c>
      <c r="G564" s="8" t="s">
        <v>1667</v>
      </c>
      <c r="H564" s="15"/>
      <c r="I564" s="15"/>
      <c r="J564" s="10"/>
      <c r="K564" s="10"/>
      <c r="L564" s="10"/>
      <c r="M564" s="11" t="str">
        <f aca="false">IF(COUNTA(J564:L564)&lt;3,"",IF(COUNTIF(J564:L564,"유지")=3,"채택","제외"))</f>
        <v/>
      </c>
      <c r="N564" s="12"/>
    </row>
    <row r="565" customFormat="false" ht="15" hidden="false" customHeight="false" outlineLevel="0" collapsed="false">
      <c r="A565" s="7" t="n">
        <v>564</v>
      </c>
      <c r="B565" s="7" t="s">
        <v>1025</v>
      </c>
      <c r="C565" s="7" t="s">
        <v>1644</v>
      </c>
      <c r="D565" s="7" t="s">
        <v>1668</v>
      </c>
      <c r="E565" s="8" t="s">
        <v>1669</v>
      </c>
      <c r="F565" s="9" t="s">
        <v>1670</v>
      </c>
      <c r="G565" s="8" t="s">
        <v>1670</v>
      </c>
      <c r="H565" s="13" t="s">
        <v>87</v>
      </c>
      <c r="I565" s="14"/>
      <c r="J565" s="10"/>
      <c r="K565" s="10"/>
      <c r="L565" s="10"/>
      <c r="M565" s="11" t="str">
        <f aca="false">IF(COUNTA(J565:L565)&lt;3,"",IF(COUNTIF(J565:L565,"유지")=3,"채택","제외"))</f>
        <v/>
      </c>
      <c r="N565" s="12"/>
    </row>
    <row r="566" customFormat="false" ht="15" hidden="false" customHeight="false" outlineLevel="0" collapsed="false">
      <c r="A566" s="7" t="n">
        <v>565</v>
      </c>
      <c r="B566" s="7" t="s">
        <v>1025</v>
      </c>
      <c r="C566" s="7" t="s">
        <v>1644</v>
      </c>
      <c r="D566" s="7" t="s">
        <v>1671</v>
      </c>
      <c r="E566" s="8" t="s">
        <v>1672</v>
      </c>
      <c r="F566" s="9" t="s">
        <v>1673</v>
      </c>
      <c r="G566" s="8" t="s">
        <v>1670</v>
      </c>
      <c r="H566" s="13" t="s">
        <v>87</v>
      </c>
      <c r="I566" s="14"/>
      <c r="J566" s="10"/>
      <c r="K566" s="10"/>
      <c r="L566" s="10"/>
      <c r="M566" s="11" t="str">
        <f aca="false">IF(COUNTA(J566:L566)&lt;3,"",IF(COUNTIF(J566:L566,"유지")=3,"채택","제외"))</f>
        <v/>
      </c>
      <c r="N566" s="12"/>
    </row>
    <row r="567" customFormat="false" ht="15" hidden="false" customHeight="false" outlineLevel="0" collapsed="false">
      <c r="A567" s="7" t="n">
        <v>566</v>
      </c>
      <c r="B567" s="7" t="s">
        <v>1025</v>
      </c>
      <c r="C567" s="7" t="s">
        <v>1644</v>
      </c>
      <c r="D567" s="7" t="s">
        <v>1674</v>
      </c>
      <c r="E567" s="8" t="s">
        <v>1675</v>
      </c>
      <c r="F567" s="9" t="s">
        <v>1676</v>
      </c>
      <c r="G567" s="8" t="s">
        <v>1676</v>
      </c>
      <c r="H567" s="13" t="s">
        <v>87</v>
      </c>
      <c r="I567" s="14"/>
      <c r="J567" s="10"/>
      <c r="K567" s="10"/>
      <c r="L567" s="10"/>
      <c r="M567" s="11" t="str">
        <f aca="false">IF(COUNTA(J567:L567)&lt;3,"",IF(COUNTIF(J567:L567,"유지")=3,"채택","제외"))</f>
        <v/>
      </c>
      <c r="N567" s="12"/>
    </row>
    <row r="568" customFormat="false" ht="15" hidden="false" customHeight="false" outlineLevel="0" collapsed="false">
      <c r="A568" s="7" t="n">
        <v>567</v>
      </c>
      <c r="B568" s="7" t="s">
        <v>1025</v>
      </c>
      <c r="C568" s="7" t="s">
        <v>1644</v>
      </c>
      <c r="D568" s="7" t="s">
        <v>1677</v>
      </c>
      <c r="E568" s="8" t="s">
        <v>1678</v>
      </c>
      <c r="F568" s="9" t="s">
        <v>1679</v>
      </c>
      <c r="G568" s="8" t="s">
        <v>1680</v>
      </c>
      <c r="H568" s="15"/>
      <c r="I568" s="15"/>
      <c r="J568" s="10"/>
      <c r="K568" s="10"/>
      <c r="L568" s="10"/>
      <c r="M568" s="11" t="str">
        <f aca="false">IF(COUNTA(J568:L568)&lt;3,"",IF(COUNTIF(J568:L568,"유지")=3,"채택","제외"))</f>
        <v/>
      </c>
      <c r="N568" s="12"/>
    </row>
    <row r="569" customFormat="false" ht="15" hidden="false" customHeight="false" outlineLevel="0" collapsed="false">
      <c r="A569" s="7" t="n">
        <v>568</v>
      </c>
      <c r="B569" s="7" t="s">
        <v>1025</v>
      </c>
      <c r="C569" s="7" t="s">
        <v>1644</v>
      </c>
      <c r="D569" s="7" t="s">
        <v>1681</v>
      </c>
      <c r="E569" s="8" t="s">
        <v>1682</v>
      </c>
      <c r="F569" s="9" t="s">
        <v>1683</v>
      </c>
      <c r="G569" s="8" t="s">
        <v>1683</v>
      </c>
      <c r="H569" s="15"/>
      <c r="I569" s="15"/>
      <c r="J569" s="10"/>
      <c r="K569" s="10"/>
      <c r="L569" s="10"/>
      <c r="M569" s="11" t="str">
        <f aca="false">IF(COUNTA(J569:L569)&lt;3,"",IF(COUNTIF(J569:L569,"유지")=3,"채택","제외"))</f>
        <v/>
      </c>
      <c r="N569" s="12"/>
    </row>
    <row r="570" customFormat="false" ht="15" hidden="false" customHeight="false" outlineLevel="0" collapsed="false">
      <c r="A570" s="7" t="n">
        <v>569</v>
      </c>
      <c r="B570" s="7" t="s">
        <v>1025</v>
      </c>
      <c r="C570" s="7" t="s">
        <v>1644</v>
      </c>
      <c r="D570" s="7" t="s">
        <v>1684</v>
      </c>
      <c r="E570" s="8" t="s">
        <v>1685</v>
      </c>
      <c r="F570" s="9" t="s">
        <v>1686</v>
      </c>
      <c r="G570" s="8" t="s">
        <v>1686</v>
      </c>
      <c r="H570" s="15"/>
      <c r="I570" s="15"/>
      <c r="J570" s="10"/>
      <c r="K570" s="10"/>
      <c r="L570" s="10"/>
      <c r="M570" s="11" t="str">
        <f aca="false">IF(COUNTA(J570:L570)&lt;3,"",IF(COUNTIF(J570:L570,"유지")=3,"채택","제외"))</f>
        <v/>
      </c>
      <c r="N570" s="12"/>
    </row>
    <row r="571" customFormat="false" ht="15" hidden="false" customHeight="false" outlineLevel="0" collapsed="false">
      <c r="A571" s="7" t="n">
        <v>570</v>
      </c>
      <c r="B571" s="7" t="s">
        <v>1025</v>
      </c>
      <c r="C571" s="7" t="s">
        <v>1644</v>
      </c>
      <c r="D571" s="7" t="s">
        <v>1687</v>
      </c>
      <c r="E571" s="8" t="s">
        <v>1688</v>
      </c>
      <c r="F571" s="9" t="s">
        <v>1689</v>
      </c>
      <c r="G571" s="8" t="s">
        <v>1690</v>
      </c>
      <c r="H571" s="13" t="s">
        <v>74</v>
      </c>
      <c r="I571" s="14"/>
      <c r="J571" s="10"/>
      <c r="K571" s="10"/>
      <c r="L571" s="10"/>
      <c r="M571" s="11" t="str">
        <f aca="false">IF(COUNTA(J571:L571)&lt;3,"",IF(COUNTIF(J571:L571,"유지")=3,"채택","제외"))</f>
        <v/>
      </c>
      <c r="N571" s="12"/>
    </row>
    <row r="572" customFormat="false" ht="15" hidden="false" customHeight="false" outlineLevel="0" collapsed="false">
      <c r="A572" s="7" t="n">
        <v>571</v>
      </c>
      <c r="B572" s="7" t="s">
        <v>1025</v>
      </c>
      <c r="C572" s="7" t="s">
        <v>1644</v>
      </c>
      <c r="D572" s="7" t="s">
        <v>1691</v>
      </c>
      <c r="E572" s="8" t="s">
        <v>1692</v>
      </c>
      <c r="F572" s="9" t="s">
        <v>1693</v>
      </c>
      <c r="G572" s="8" t="s">
        <v>1693</v>
      </c>
      <c r="H572" s="15"/>
      <c r="I572" s="15"/>
      <c r="J572" s="10"/>
      <c r="K572" s="10"/>
      <c r="L572" s="10"/>
      <c r="M572" s="11" t="str">
        <f aca="false">IF(COUNTA(J572:L572)&lt;3,"",IF(COUNTIF(J572:L572,"유지")=3,"채택","제외"))</f>
        <v/>
      </c>
      <c r="N572" s="12"/>
    </row>
    <row r="573" customFormat="false" ht="15" hidden="false" customHeight="false" outlineLevel="0" collapsed="false">
      <c r="A573" s="7" t="n">
        <v>572</v>
      </c>
      <c r="B573" s="7" t="s">
        <v>1025</v>
      </c>
      <c r="C573" s="7" t="s">
        <v>1644</v>
      </c>
      <c r="D573" s="7" t="s">
        <v>1694</v>
      </c>
      <c r="E573" s="8" t="s">
        <v>1695</v>
      </c>
      <c r="F573" s="9" t="s">
        <v>1696</v>
      </c>
      <c r="G573" s="8" t="s">
        <v>1697</v>
      </c>
      <c r="H573" s="15"/>
      <c r="I573" s="15"/>
      <c r="J573" s="10"/>
      <c r="K573" s="10"/>
      <c r="L573" s="10"/>
      <c r="M573" s="11" t="str">
        <f aca="false">IF(COUNTA(J573:L573)&lt;3,"",IF(COUNTIF(J573:L573,"유지")=3,"채택","제외"))</f>
        <v/>
      </c>
      <c r="N573" s="12"/>
    </row>
    <row r="574" customFormat="false" ht="15" hidden="false" customHeight="false" outlineLevel="0" collapsed="false">
      <c r="A574" s="7" t="n">
        <v>573</v>
      </c>
      <c r="B574" s="7" t="s">
        <v>1025</v>
      </c>
      <c r="C574" s="7" t="s">
        <v>1644</v>
      </c>
      <c r="D574" s="7" t="s">
        <v>1698</v>
      </c>
      <c r="E574" s="8" t="s">
        <v>1591</v>
      </c>
      <c r="F574" s="9" t="s">
        <v>1592</v>
      </c>
      <c r="G574" s="8" t="s">
        <v>1592</v>
      </c>
      <c r="H574" s="13" t="s">
        <v>87</v>
      </c>
      <c r="I574" s="14"/>
      <c r="J574" s="10"/>
      <c r="K574" s="10"/>
      <c r="L574" s="10"/>
      <c r="M574" s="11" t="str">
        <f aca="false">IF(COUNTA(J574:L574)&lt;3,"",IF(COUNTIF(J574:L574,"유지")=3,"채택","제외"))</f>
        <v/>
      </c>
      <c r="N574" s="12"/>
    </row>
    <row r="575" customFormat="false" ht="15" hidden="false" customHeight="false" outlineLevel="0" collapsed="false">
      <c r="A575" s="7" t="n">
        <v>574</v>
      </c>
      <c r="B575" s="7" t="s">
        <v>1025</v>
      </c>
      <c r="C575" s="7" t="s">
        <v>1644</v>
      </c>
      <c r="D575" s="7" t="s">
        <v>1699</v>
      </c>
      <c r="E575" s="8" t="s">
        <v>1660</v>
      </c>
      <c r="F575" s="9" t="s">
        <v>1661</v>
      </c>
      <c r="G575" s="8" t="s">
        <v>1661</v>
      </c>
      <c r="H575" s="13" t="s">
        <v>87</v>
      </c>
      <c r="I575" s="14"/>
      <c r="J575" s="10"/>
      <c r="K575" s="10"/>
      <c r="L575" s="10"/>
      <c r="M575" s="11" t="str">
        <f aca="false">IF(COUNTA(J575:L575)&lt;3,"",IF(COUNTIF(J575:L575,"유지")=3,"채택","제외"))</f>
        <v/>
      </c>
      <c r="N575" s="12"/>
    </row>
    <row r="576" customFormat="false" ht="15" hidden="false" customHeight="false" outlineLevel="0" collapsed="false">
      <c r="A576" s="7" t="n">
        <v>575</v>
      </c>
      <c r="B576" s="7" t="s">
        <v>1025</v>
      </c>
      <c r="C576" s="7" t="s">
        <v>1644</v>
      </c>
      <c r="D576" s="7" t="s">
        <v>1700</v>
      </c>
      <c r="E576" s="8" t="s">
        <v>1701</v>
      </c>
      <c r="F576" s="9" t="s">
        <v>1702</v>
      </c>
      <c r="G576" s="8" t="s">
        <v>1702</v>
      </c>
      <c r="H576" s="15"/>
      <c r="I576" s="15"/>
      <c r="J576" s="10"/>
      <c r="K576" s="10"/>
      <c r="L576" s="10"/>
      <c r="M576" s="11" t="str">
        <f aca="false">IF(COUNTA(J576:L576)&lt;3,"",IF(COUNTIF(J576:L576,"유지")=3,"채택","제외"))</f>
        <v/>
      </c>
      <c r="N576" s="12"/>
    </row>
    <row r="577" customFormat="false" ht="15" hidden="false" customHeight="false" outlineLevel="0" collapsed="false">
      <c r="A577" s="7" t="n">
        <v>576</v>
      </c>
      <c r="B577" s="7" t="s">
        <v>1025</v>
      </c>
      <c r="C577" s="7" t="s">
        <v>1644</v>
      </c>
      <c r="D577" s="7" t="s">
        <v>1703</v>
      </c>
      <c r="E577" s="8" t="s">
        <v>1660</v>
      </c>
      <c r="F577" s="9" t="s">
        <v>1661</v>
      </c>
      <c r="G577" s="8" t="s">
        <v>1661</v>
      </c>
      <c r="H577" s="13" t="s">
        <v>87</v>
      </c>
      <c r="I577" s="14"/>
      <c r="J577" s="10"/>
      <c r="K577" s="10"/>
      <c r="L577" s="10"/>
      <c r="M577" s="11" t="str">
        <f aca="false">IF(COUNTA(J577:L577)&lt;3,"",IF(COUNTIF(J577:L577,"유지")=3,"채택","제외"))</f>
        <v/>
      </c>
      <c r="N577" s="12"/>
    </row>
    <row r="578" customFormat="false" ht="15" hidden="false" customHeight="false" outlineLevel="0" collapsed="false">
      <c r="A578" s="7" t="n">
        <v>577</v>
      </c>
      <c r="B578" s="7" t="s">
        <v>1025</v>
      </c>
      <c r="C578" s="7" t="s">
        <v>1644</v>
      </c>
      <c r="D578" s="7" t="s">
        <v>1704</v>
      </c>
      <c r="E578" s="8" t="s">
        <v>1705</v>
      </c>
      <c r="F578" s="9" t="s">
        <v>1706</v>
      </c>
      <c r="G578" s="8" t="s">
        <v>1706</v>
      </c>
      <c r="H578" s="15"/>
      <c r="I578" s="15"/>
      <c r="J578" s="10"/>
      <c r="K578" s="10"/>
      <c r="L578" s="10"/>
      <c r="M578" s="11" t="str">
        <f aca="false">IF(COUNTA(J578:L578)&lt;3,"",IF(COUNTIF(J578:L578,"유지")=3,"채택","제외"))</f>
        <v/>
      </c>
      <c r="N578" s="12"/>
    </row>
    <row r="579" customFormat="false" ht="15" hidden="false" customHeight="false" outlineLevel="0" collapsed="false">
      <c r="A579" s="7" t="n">
        <v>578</v>
      </c>
      <c r="B579" s="7" t="s">
        <v>1025</v>
      </c>
      <c r="C579" s="7" t="s">
        <v>1644</v>
      </c>
      <c r="D579" s="7" t="s">
        <v>1707</v>
      </c>
      <c r="E579" s="8" t="s">
        <v>1669</v>
      </c>
      <c r="F579" s="9" t="s">
        <v>1670</v>
      </c>
      <c r="G579" s="8" t="s">
        <v>1670</v>
      </c>
      <c r="H579" s="13" t="s">
        <v>87</v>
      </c>
      <c r="I579" s="14"/>
      <c r="J579" s="10"/>
      <c r="K579" s="10"/>
      <c r="L579" s="10"/>
      <c r="M579" s="11" t="str">
        <f aca="false">IF(COUNTA(J579:L579)&lt;3,"",IF(COUNTIF(J579:L579,"유지")=3,"채택","제외"))</f>
        <v/>
      </c>
      <c r="N579" s="12"/>
    </row>
    <row r="580" customFormat="false" ht="15" hidden="false" customHeight="false" outlineLevel="0" collapsed="false">
      <c r="A580" s="7" t="n">
        <v>579</v>
      </c>
      <c r="B580" s="7" t="s">
        <v>1025</v>
      </c>
      <c r="C580" s="7" t="s">
        <v>1644</v>
      </c>
      <c r="D580" s="7" t="s">
        <v>1708</v>
      </c>
      <c r="E580" s="8" t="s">
        <v>1675</v>
      </c>
      <c r="F580" s="9" t="s">
        <v>1676</v>
      </c>
      <c r="G580" s="8" t="s">
        <v>1676</v>
      </c>
      <c r="H580" s="13" t="s">
        <v>87</v>
      </c>
      <c r="I580" s="14"/>
      <c r="J580" s="10"/>
      <c r="K580" s="10"/>
      <c r="L580" s="10"/>
      <c r="M580" s="11" t="str">
        <f aca="false">IF(COUNTA(J580:L580)&lt;3,"",IF(COUNTIF(J580:L580,"유지")=3,"채택","제외"))</f>
        <v/>
      </c>
      <c r="N580" s="12"/>
    </row>
    <row r="581" customFormat="false" ht="15" hidden="false" customHeight="false" outlineLevel="0" collapsed="false">
      <c r="A581" s="7" t="n">
        <v>580</v>
      </c>
      <c r="B581" s="7" t="s">
        <v>1025</v>
      </c>
      <c r="C581" s="7" t="s">
        <v>1644</v>
      </c>
      <c r="D581" s="7" t="s">
        <v>1709</v>
      </c>
      <c r="E581" s="8" t="s">
        <v>1710</v>
      </c>
      <c r="F581" s="9" t="s">
        <v>1711</v>
      </c>
      <c r="G581" s="8" t="s">
        <v>1712</v>
      </c>
      <c r="H581" s="15"/>
      <c r="I581" s="15"/>
      <c r="J581" s="10"/>
      <c r="K581" s="10"/>
      <c r="L581" s="10"/>
      <c r="M581" s="11" t="str">
        <f aca="false">IF(COUNTA(J581:L581)&lt;3,"",IF(COUNTIF(J581:L581,"유지")=3,"채택","제외"))</f>
        <v/>
      </c>
      <c r="N581" s="12"/>
    </row>
    <row r="582" customFormat="false" ht="15" hidden="false" customHeight="false" outlineLevel="0" collapsed="false">
      <c r="A582" s="7" t="n">
        <v>581</v>
      </c>
      <c r="B582" s="7" t="s">
        <v>1025</v>
      </c>
      <c r="C582" s="7" t="s">
        <v>1644</v>
      </c>
      <c r="D582" s="7" t="s">
        <v>1713</v>
      </c>
      <c r="E582" s="8" t="s">
        <v>1714</v>
      </c>
      <c r="F582" s="9" t="s">
        <v>1715</v>
      </c>
      <c r="G582" s="8" t="s">
        <v>1716</v>
      </c>
      <c r="H582" s="15"/>
      <c r="I582" s="15"/>
      <c r="J582" s="10"/>
      <c r="K582" s="10"/>
      <c r="L582" s="10"/>
      <c r="M582" s="11" t="str">
        <f aca="false">IF(COUNTA(J582:L582)&lt;3,"",IF(COUNTIF(J582:L582,"유지")=3,"채택","제외"))</f>
        <v/>
      </c>
      <c r="N582" s="12"/>
    </row>
    <row r="583" customFormat="false" ht="15" hidden="false" customHeight="false" outlineLevel="0" collapsed="false">
      <c r="A583" s="7" t="n">
        <v>582</v>
      </c>
      <c r="B583" s="7" t="s">
        <v>1025</v>
      </c>
      <c r="C583" s="7" t="s">
        <v>1644</v>
      </c>
      <c r="D583" s="7" t="s">
        <v>1717</v>
      </c>
      <c r="E583" s="8" t="s">
        <v>1718</v>
      </c>
      <c r="F583" s="9" t="s">
        <v>1719</v>
      </c>
      <c r="G583" s="8" t="s">
        <v>1719</v>
      </c>
      <c r="H583" s="15"/>
      <c r="I583" s="15"/>
      <c r="J583" s="10"/>
      <c r="K583" s="10"/>
      <c r="L583" s="10"/>
      <c r="M583" s="11" t="str">
        <f aca="false">IF(COUNTA(J583:L583)&lt;3,"",IF(COUNTIF(J583:L583,"유지")=3,"채택","제외"))</f>
        <v/>
      </c>
      <c r="N583" s="12"/>
    </row>
    <row r="584" customFormat="false" ht="15" hidden="false" customHeight="false" outlineLevel="0" collapsed="false">
      <c r="A584" s="7" t="n">
        <v>583</v>
      </c>
      <c r="B584" s="7" t="s">
        <v>1025</v>
      </c>
      <c r="C584" s="7" t="s">
        <v>1644</v>
      </c>
      <c r="D584" s="7" t="s">
        <v>1720</v>
      </c>
      <c r="E584" s="8" t="s">
        <v>1721</v>
      </c>
      <c r="F584" s="9" t="s">
        <v>1722</v>
      </c>
      <c r="G584" s="8" t="s">
        <v>1723</v>
      </c>
      <c r="H584" s="15"/>
      <c r="I584" s="15"/>
      <c r="J584" s="10"/>
      <c r="K584" s="10"/>
      <c r="L584" s="10"/>
      <c r="M584" s="11" t="str">
        <f aca="false">IF(COUNTA(J584:L584)&lt;3,"",IF(COUNTIF(J584:L584,"유지")=3,"채택","제외"))</f>
        <v/>
      </c>
      <c r="N584" s="12"/>
    </row>
    <row r="585" customFormat="false" ht="15" hidden="false" customHeight="false" outlineLevel="0" collapsed="false">
      <c r="A585" s="7" t="n">
        <v>584</v>
      </c>
      <c r="B585" s="7" t="s">
        <v>1025</v>
      </c>
      <c r="C585" s="7" t="s">
        <v>1644</v>
      </c>
      <c r="D585" s="7" t="s">
        <v>1724</v>
      </c>
      <c r="E585" s="8" t="s">
        <v>1725</v>
      </c>
      <c r="F585" s="9" t="s">
        <v>1726</v>
      </c>
      <c r="G585" s="8" t="s">
        <v>1727</v>
      </c>
      <c r="H585" s="15"/>
      <c r="I585" s="15"/>
      <c r="J585" s="10"/>
      <c r="K585" s="10"/>
      <c r="L585" s="10"/>
      <c r="M585" s="11" t="str">
        <f aca="false">IF(COUNTA(J585:L585)&lt;3,"",IF(COUNTIF(J585:L585,"유지")=3,"채택","제외"))</f>
        <v/>
      </c>
      <c r="N585" s="12"/>
    </row>
    <row r="586" customFormat="false" ht="15" hidden="false" customHeight="false" outlineLevel="0" collapsed="false">
      <c r="A586" s="7" t="n">
        <v>585</v>
      </c>
      <c r="B586" s="7" t="s">
        <v>1025</v>
      </c>
      <c r="C586" s="7" t="s">
        <v>1728</v>
      </c>
      <c r="D586" s="7" t="s">
        <v>1728</v>
      </c>
      <c r="E586" s="8" t="s">
        <v>1729</v>
      </c>
      <c r="F586" s="9" t="s">
        <v>1730</v>
      </c>
      <c r="G586" s="8" t="s">
        <v>1730</v>
      </c>
      <c r="H586" s="13" t="s">
        <v>87</v>
      </c>
      <c r="I586" s="14"/>
      <c r="J586" s="10"/>
      <c r="K586" s="10"/>
      <c r="L586" s="10"/>
      <c r="M586" s="11" t="str">
        <f aca="false">IF(COUNTA(J586:L586)&lt;3,"",IF(COUNTIF(J586:L586,"유지")=3,"채택","제외"))</f>
        <v/>
      </c>
      <c r="N586" s="12"/>
    </row>
    <row r="587" customFormat="false" ht="15" hidden="false" customHeight="false" outlineLevel="0" collapsed="false">
      <c r="A587" s="7" t="n">
        <v>586</v>
      </c>
      <c r="B587" s="7" t="s">
        <v>1025</v>
      </c>
      <c r="C587" s="7" t="s">
        <v>1728</v>
      </c>
      <c r="D587" s="7" t="s">
        <v>1731</v>
      </c>
      <c r="E587" s="8" t="s">
        <v>1732</v>
      </c>
      <c r="F587" s="9" t="s">
        <v>1733</v>
      </c>
      <c r="G587" s="8" t="s">
        <v>1733</v>
      </c>
      <c r="H587" s="13" t="s">
        <v>87</v>
      </c>
      <c r="I587" s="14"/>
      <c r="J587" s="10"/>
      <c r="K587" s="10"/>
      <c r="L587" s="10"/>
      <c r="M587" s="11" t="str">
        <f aca="false">IF(COUNTA(J587:L587)&lt;3,"",IF(COUNTIF(J587:L587,"유지")=3,"채택","제외"))</f>
        <v/>
      </c>
      <c r="N587" s="12"/>
    </row>
    <row r="588" customFormat="false" ht="15" hidden="false" customHeight="false" outlineLevel="0" collapsed="false">
      <c r="A588" s="7" t="n">
        <v>587</v>
      </c>
      <c r="B588" s="7" t="s">
        <v>1025</v>
      </c>
      <c r="C588" s="7" t="s">
        <v>1728</v>
      </c>
      <c r="D588" s="7" t="s">
        <v>1734</v>
      </c>
      <c r="E588" s="8" t="s">
        <v>1729</v>
      </c>
      <c r="F588" s="9" t="s">
        <v>1730</v>
      </c>
      <c r="G588" s="8" t="s">
        <v>1730</v>
      </c>
      <c r="H588" s="13" t="s">
        <v>87</v>
      </c>
      <c r="I588" s="14"/>
      <c r="J588" s="10"/>
      <c r="K588" s="10"/>
      <c r="L588" s="10"/>
      <c r="M588" s="11" t="str">
        <f aca="false">IF(COUNTA(J588:L588)&lt;3,"",IF(COUNTIF(J588:L588,"유지")=3,"채택","제외"))</f>
        <v/>
      </c>
      <c r="N588" s="12"/>
    </row>
    <row r="589" customFormat="false" ht="15" hidden="false" customHeight="false" outlineLevel="0" collapsed="false">
      <c r="A589" s="7" t="n">
        <v>588</v>
      </c>
      <c r="B589" s="7" t="s">
        <v>1025</v>
      </c>
      <c r="C589" s="7" t="s">
        <v>1728</v>
      </c>
      <c r="D589" s="7" t="s">
        <v>1735</v>
      </c>
      <c r="E589" s="8" t="s">
        <v>1732</v>
      </c>
      <c r="F589" s="9" t="s">
        <v>1733</v>
      </c>
      <c r="G589" s="8" t="s">
        <v>1733</v>
      </c>
      <c r="H589" s="13" t="s">
        <v>87</v>
      </c>
      <c r="I589" s="14"/>
      <c r="J589" s="10"/>
      <c r="K589" s="10"/>
      <c r="L589" s="10"/>
      <c r="M589" s="11" t="str">
        <f aca="false">IF(COUNTA(J589:L589)&lt;3,"",IF(COUNTIF(J589:L589,"유지")=3,"채택","제외"))</f>
        <v/>
      </c>
      <c r="N589" s="12"/>
    </row>
    <row r="590" customFormat="false" ht="15" hidden="false" customHeight="false" outlineLevel="0" collapsed="false">
      <c r="A590" s="7" t="n">
        <v>589</v>
      </c>
      <c r="B590" s="7" t="s">
        <v>1025</v>
      </c>
      <c r="C590" s="7" t="s">
        <v>1728</v>
      </c>
      <c r="D590" s="7" t="s">
        <v>1736</v>
      </c>
      <c r="E590" s="8" t="s">
        <v>1737</v>
      </c>
      <c r="F590" s="9" t="s">
        <v>1738</v>
      </c>
      <c r="G590" s="8" t="s">
        <v>1738</v>
      </c>
      <c r="H590" s="13" t="s">
        <v>87</v>
      </c>
      <c r="I590" s="14"/>
      <c r="J590" s="10"/>
      <c r="K590" s="10"/>
      <c r="L590" s="10"/>
      <c r="M590" s="11" t="str">
        <f aca="false">IF(COUNTA(J590:L590)&lt;3,"",IF(COUNTIF(J590:L590,"유지")=3,"채택","제외"))</f>
        <v/>
      </c>
      <c r="N590" s="12"/>
    </row>
    <row r="591" customFormat="false" ht="15" hidden="false" customHeight="false" outlineLevel="0" collapsed="false">
      <c r="A591" s="7" t="n">
        <v>590</v>
      </c>
      <c r="B591" s="7" t="s">
        <v>1025</v>
      </c>
      <c r="C591" s="7" t="s">
        <v>1728</v>
      </c>
      <c r="D591" s="7" t="s">
        <v>1739</v>
      </c>
      <c r="E591" s="8" t="s">
        <v>1740</v>
      </c>
      <c r="F591" s="9" t="s">
        <v>1741</v>
      </c>
      <c r="G591" s="8" t="s">
        <v>1741</v>
      </c>
      <c r="H591" s="15"/>
      <c r="I591" s="15"/>
      <c r="J591" s="10"/>
      <c r="K591" s="10"/>
      <c r="L591" s="10"/>
      <c r="M591" s="11" t="str">
        <f aca="false">IF(COUNTA(J591:L591)&lt;3,"",IF(COUNTIF(J591:L591,"유지")=3,"채택","제외"))</f>
        <v/>
      </c>
      <c r="N591" s="12"/>
    </row>
    <row r="592" customFormat="false" ht="15" hidden="false" customHeight="false" outlineLevel="0" collapsed="false">
      <c r="A592" s="7" t="n">
        <v>591</v>
      </c>
      <c r="B592" s="7" t="s">
        <v>1025</v>
      </c>
      <c r="C592" s="7" t="s">
        <v>1728</v>
      </c>
      <c r="D592" s="7" t="s">
        <v>1742</v>
      </c>
      <c r="E592" s="8" t="s">
        <v>1743</v>
      </c>
      <c r="F592" s="9" t="s">
        <v>1744</v>
      </c>
      <c r="G592" s="8" t="s">
        <v>1745</v>
      </c>
      <c r="H592" s="15"/>
      <c r="I592" s="15"/>
      <c r="J592" s="10"/>
      <c r="K592" s="10"/>
      <c r="L592" s="10"/>
      <c r="M592" s="11" t="str">
        <f aca="false">IF(COUNTA(J592:L592)&lt;3,"",IF(COUNTIF(J592:L592,"유지")=3,"채택","제외"))</f>
        <v/>
      </c>
      <c r="N592" s="12"/>
    </row>
    <row r="593" customFormat="false" ht="15" hidden="false" customHeight="false" outlineLevel="0" collapsed="false">
      <c r="A593" s="7" t="n">
        <v>592</v>
      </c>
      <c r="B593" s="7" t="s">
        <v>1025</v>
      </c>
      <c r="C593" s="7" t="s">
        <v>1728</v>
      </c>
      <c r="D593" s="7" t="s">
        <v>1746</v>
      </c>
      <c r="E593" s="8" t="s">
        <v>1747</v>
      </c>
      <c r="F593" s="9" t="s">
        <v>1748</v>
      </c>
      <c r="G593" s="8" t="s">
        <v>1749</v>
      </c>
      <c r="H593" s="15"/>
      <c r="I593" s="15"/>
      <c r="J593" s="10"/>
      <c r="K593" s="10"/>
      <c r="L593" s="10"/>
      <c r="M593" s="11" t="str">
        <f aca="false">IF(COUNTA(J593:L593)&lt;3,"",IF(COUNTIF(J593:L593,"유지")=3,"채택","제외"))</f>
        <v/>
      </c>
      <c r="N593" s="12"/>
    </row>
    <row r="594" customFormat="false" ht="15" hidden="false" customHeight="false" outlineLevel="0" collapsed="false">
      <c r="A594" s="7" t="n">
        <v>593</v>
      </c>
      <c r="B594" s="7" t="s">
        <v>1025</v>
      </c>
      <c r="C594" s="7" t="s">
        <v>1728</v>
      </c>
      <c r="D594" s="7" t="s">
        <v>1750</v>
      </c>
      <c r="E594" s="8" t="s">
        <v>1751</v>
      </c>
      <c r="F594" s="9" t="s">
        <v>1752</v>
      </c>
      <c r="G594" s="8" t="s">
        <v>1752</v>
      </c>
      <c r="H594" s="15"/>
      <c r="I594" s="15"/>
      <c r="J594" s="10"/>
      <c r="K594" s="10"/>
      <c r="L594" s="10"/>
      <c r="M594" s="11" t="str">
        <f aca="false">IF(COUNTA(J594:L594)&lt;3,"",IF(COUNTIF(J594:L594,"유지")=3,"채택","제외"))</f>
        <v/>
      </c>
      <c r="N594" s="12"/>
    </row>
    <row r="595" customFormat="false" ht="15" hidden="false" customHeight="false" outlineLevel="0" collapsed="false">
      <c r="A595" s="7" t="n">
        <v>594</v>
      </c>
      <c r="B595" s="7" t="s">
        <v>1025</v>
      </c>
      <c r="C595" s="7" t="s">
        <v>1728</v>
      </c>
      <c r="D595" s="7" t="s">
        <v>1753</v>
      </c>
      <c r="E595" s="8" t="s">
        <v>1056</v>
      </c>
      <c r="F595" s="9" t="s">
        <v>1057</v>
      </c>
      <c r="G595" s="8" t="s">
        <v>1057</v>
      </c>
      <c r="H595" s="13" t="s">
        <v>87</v>
      </c>
      <c r="I595" s="14"/>
      <c r="J595" s="10"/>
      <c r="K595" s="10"/>
      <c r="L595" s="10"/>
      <c r="M595" s="11" t="str">
        <f aca="false">IF(COUNTA(J595:L595)&lt;3,"",IF(COUNTIF(J595:L595,"유지")=3,"채택","제외"))</f>
        <v/>
      </c>
      <c r="N595" s="12"/>
    </row>
    <row r="596" customFormat="false" ht="15" hidden="false" customHeight="false" outlineLevel="0" collapsed="false">
      <c r="A596" s="7" t="n">
        <v>595</v>
      </c>
      <c r="B596" s="7" t="s">
        <v>1025</v>
      </c>
      <c r="C596" s="7" t="s">
        <v>1728</v>
      </c>
      <c r="D596" s="7" t="s">
        <v>1753</v>
      </c>
      <c r="E596" s="8" t="s">
        <v>1754</v>
      </c>
      <c r="F596" s="9" t="s">
        <v>1755</v>
      </c>
      <c r="G596" s="8" t="s">
        <v>1755</v>
      </c>
      <c r="H596" s="13" t="s">
        <v>87</v>
      </c>
      <c r="I596" s="14"/>
      <c r="J596" s="10"/>
      <c r="K596" s="10"/>
      <c r="L596" s="10"/>
      <c r="M596" s="11" t="str">
        <f aca="false">IF(COUNTA(J596:L596)&lt;3,"",IF(COUNTIF(J596:L596,"유지")=3,"채택","제외"))</f>
        <v/>
      </c>
      <c r="N596" s="12"/>
    </row>
    <row r="597" customFormat="false" ht="15" hidden="false" customHeight="false" outlineLevel="0" collapsed="false">
      <c r="A597" s="7" t="n">
        <v>596</v>
      </c>
      <c r="B597" s="7" t="s">
        <v>1025</v>
      </c>
      <c r="C597" s="7" t="s">
        <v>1728</v>
      </c>
      <c r="D597" s="7" t="s">
        <v>1756</v>
      </c>
      <c r="E597" s="8" t="s">
        <v>1757</v>
      </c>
      <c r="F597" s="9" t="s">
        <v>1758</v>
      </c>
      <c r="G597" s="8" t="s">
        <v>1759</v>
      </c>
      <c r="H597" s="15"/>
      <c r="I597" s="15"/>
      <c r="J597" s="10"/>
      <c r="K597" s="10"/>
      <c r="L597" s="10"/>
      <c r="M597" s="11" t="str">
        <f aca="false">IF(COUNTA(J597:L597)&lt;3,"",IF(COUNTIF(J597:L597,"유지")=3,"채택","제외"))</f>
        <v/>
      </c>
      <c r="N597" s="12"/>
    </row>
    <row r="598" customFormat="false" ht="15" hidden="false" customHeight="false" outlineLevel="0" collapsed="false">
      <c r="A598" s="7" t="n">
        <v>597</v>
      </c>
      <c r="B598" s="7" t="s">
        <v>1025</v>
      </c>
      <c r="C598" s="7" t="s">
        <v>1728</v>
      </c>
      <c r="D598" s="7" t="s">
        <v>1760</v>
      </c>
      <c r="E598" s="8" t="s">
        <v>1761</v>
      </c>
      <c r="F598" s="9" t="s">
        <v>1762</v>
      </c>
      <c r="G598" s="8" t="s">
        <v>1762</v>
      </c>
      <c r="H598" s="15"/>
      <c r="I598" s="15"/>
      <c r="J598" s="10"/>
      <c r="K598" s="10"/>
      <c r="L598" s="10"/>
      <c r="M598" s="11" t="str">
        <f aca="false">IF(COUNTA(J598:L598)&lt;3,"",IF(COUNTIF(J598:L598,"유지")=3,"채택","제외"))</f>
        <v/>
      </c>
      <c r="N598" s="12"/>
    </row>
    <row r="599" customFormat="false" ht="15" hidden="false" customHeight="false" outlineLevel="0" collapsed="false">
      <c r="A599" s="7" t="n">
        <v>598</v>
      </c>
      <c r="B599" s="7" t="s">
        <v>1025</v>
      </c>
      <c r="C599" s="7" t="s">
        <v>1728</v>
      </c>
      <c r="D599" s="7" t="s">
        <v>1763</v>
      </c>
      <c r="E599" s="8" t="s">
        <v>1754</v>
      </c>
      <c r="F599" s="9" t="s">
        <v>1755</v>
      </c>
      <c r="G599" s="8" t="s">
        <v>1755</v>
      </c>
      <c r="H599" s="13" t="s">
        <v>87</v>
      </c>
      <c r="I599" s="14"/>
      <c r="J599" s="10"/>
      <c r="K599" s="10"/>
      <c r="L599" s="10"/>
      <c r="M599" s="11" t="str">
        <f aca="false">IF(COUNTA(J599:L599)&lt;3,"",IF(COUNTIF(J599:L599,"유지")=3,"채택","제외"))</f>
        <v/>
      </c>
      <c r="N599" s="12"/>
    </row>
    <row r="600" customFormat="false" ht="15" hidden="false" customHeight="false" outlineLevel="0" collapsed="false">
      <c r="A600" s="7" t="n">
        <v>599</v>
      </c>
      <c r="B600" s="7" t="s">
        <v>1025</v>
      </c>
      <c r="C600" s="7" t="s">
        <v>1728</v>
      </c>
      <c r="D600" s="7" t="s">
        <v>1764</v>
      </c>
      <c r="E600" s="8" t="s">
        <v>1765</v>
      </c>
      <c r="F600" s="9" t="s">
        <v>1766</v>
      </c>
      <c r="G600" s="8" t="s">
        <v>1766</v>
      </c>
      <c r="H600" s="15"/>
      <c r="I600" s="15"/>
      <c r="J600" s="10"/>
      <c r="K600" s="10"/>
      <c r="L600" s="10"/>
      <c r="M600" s="11" t="str">
        <f aca="false">IF(COUNTA(J600:L600)&lt;3,"",IF(COUNTIF(J600:L600,"유지")=3,"채택","제외"))</f>
        <v/>
      </c>
      <c r="N600" s="12"/>
    </row>
    <row r="601" customFormat="false" ht="15" hidden="false" customHeight="false" outlineLevel="0" collapsed="false">
      <c r="A601" s="7" t="n">
        <v>600</v>
      </c>
      <c r="B601" s="7" t="s">
        <v>1025</v>
      </c>
      <c r="C601" s="7" t="s">
        <v>1728</v>
      </c>
      <c r="D601" s="7" t="s">
        <v>1767</v>
      </c>
      <c r="E601" s="8" t="s">
        <v>1768</v>
      </c>
      <c r="F601" s="9" t="s">
        <v>1769</v>
      </c>
      <c r="G601" s="8" t="s">
        <v>1769</v>
      </c>
      <c r="H601" s="15"/>
      <c r="I601" s="15"/>
      <c r="J601" s="10"/>
      <c r="K601" s="10"/>
      <c r="L601" s="10"/>
      <c r="M601" s="11" t="str">
        <f aca="false">IF(COUNTA(J601:L601)&lt;3,"",IF(COUNTIF(J601:L601,"유지")=3,"채택","제외"))</f>
        <v/>
      </c>
      <c r="N601" s="12"/>
    </row>
    <row r="602" customFormat="false" ht="15" hidden="false" customHeight="false" outlineLevel="0" collapsed="false">
      <c r="A602" s="7" t="n">
        <v>601</v>
      </c>
      <c r="B602" s="7" t="s">
        <v>1025</v>
      </c>
      <c r="C602" s="7" t="s">
        <v>1728</v>
      </c>
      <c r="D602" s="7" t="s">
        <v>1770</v>
      </c>
      <c r="E602" s="8" t="s">
        <v>1732</v>
      </c>
      <c r="F602" s="9" t="s">
        <v>1733</v>
      </c>
      <c r="G602" s="8" t="s">
        <v>1733</v>
      </c>
      <c r="H602" s="13" t="s">
        <v>87</v>
      </c>
      <c r="I602" s="14"/>
      <c r="J602" s="10"/>
      <c r="K602" s="10"/>
      <c r="L602" s="10"/>
      <c r="M602" s="11" t="str">
        <f aca="false">IF(COUNTA(J602:L602)&lt;3,"",IF(COUNTIF(J602:L602,"유지")=3,"채택","제외"))</f>
        <v/>
      </c>
      <c r="N602" s="12"/>
    </row>
    <row r="603" customFormat="false" ht="15" hidden="false" customHeight="false" outlineLevel="0" collapsed="false">
      <c r="A603" s="7" t="n">
        <v>602</v>
      </c>
      <c r="B603" s="7" t="s">
        <v>1025</v>
      </c>
      <c r="C603" s="7" t="s">
        <v>1728</v>
      </c>
      <c r="D603" s="7" t="s">
        <v>1771</v>
      </c>
      <c r="E603" s="8" t="s">
        <v>1729</v>
      </c>
      <c r="F603" s="9" t="s">
        <v>1730</v>
      </c>
      <c r="G603" s="8" t="s">
        <v>1730</v>
      </c>
      <c r="H603" s="13" t="s">
        <v>87</v>
      </c>
      <c r="I603" s="14"/>
      <c r="J603" s="10"/>
      <c r="K603" s="10"/>
      <c r="L603" s="10"/>
      <c r="M603" s="11" t="str">
        <f aca="false">IF(COUNTA(J603:L603)&lt;3,"",IF(COUNTIF(J603:L603,"유지")=3,"채택","제외"))</f>
        <v/>
      </c>
      <c r="N603" s="12"/>
    </row>
    <row r="604" customFormat="false" ht="15" hidden="false" customHeight="false" outlineLevel="0" collapsed="false">
      <c r="A604" s="7" t="n">
        <v>603</v>
      </c>
      <c r="B604" s="7" t="s">
        <v>1025</v>
      </c>
      <c r="C604" s="7" t="s">
        <v>1728</v>
      </c>
      <c r="D604" s="7" t="s">
        <v>1771</v>
      </c>
      <c r="E604" s="8" t="s">
        <v>1314</v>
      </c>
      <c r="F604" s="9" t="s">
        <v>1315</v>
      </c>
      <c r="G604" s="8" t="s">
        <v>1315</v>
      </c>
      <c r="H604" s="13" t="s">
        <v>87</v>
      </c>
      <c r="I604" s="14" t="s">
        <v>1316</v>
      </c>
      <c r="J604" s="10"/>
      <c r="K604" s="10"/>
      <c r="L604" s="10"/>
      <c r="M604" s="11" t="str">
        <f aca="false">IF(COUNTA(J604:L604)&lt;3,"",IF(COUNTIF(J604:L604,"유지")=3,"채택","제외"))</f>
        <v/>
      </c>
      <c r="N604" s="12"/>
    </row>
    <row r="605" customFormat="false" ht="15" hidden="false" customHeight="false" outlineLevel="0" collapsed="false">
      <c r="A605" s="7" t="n">
        <v>604</v>
      </c>
      <c r="B605" s="7" t="s">
        <v>1025</v>
      </c>
      <c r="C605" s="7" t="s">
        <v>1728</v>
      </c>
      <c r="D605" s="7" t="s">
        <v>1772</v>
      </c>
      <c r="E605" s="8" t="s">
        <v>1773</v>
      </c>
      <c r="F605" s="9" t="s">
        <v>1774</v>
      </c>
      <c r="G605" s="8" t="s">
        <v>1774</v>
      </c>
      <c r="H605" s="15"/>
      <c r="I605" s="15"/>
      <c r="J605" s="10"/>
      <c r="K605" s="10"/>
      <c r="L605" s="10"/>
      <c r="M605" s="11" t="str">
        <f aca="false">IF(COUNTA(J605:L605)&lt;3,"",IF(COUNTIF(J605:L605,"유지")=3,"채택","제외"))</f>
        <v/>
      </c>
      <c r="N605" s="12"/>
    </row>
    <row r="606" customFormat="false" ht="15" hidden="false" customHeight="false" outlineLevel="0" collapsed="false">
      <c r="A606" s="7" t="n">
        <v>605</v>
      </c>
      <c r="B606" s="7" t="s">
        <v>1025</v>
      </c>
      <c r="C606" s="7" t="s">
        <v>1728</v>
      </c>
      <c r="D606" s="7" t="s">
        <v>1775</v>
      </c>
      <c r="E606" s="8" t="s">
        <v>1776</v>
      </c>
      <c r="F606" s="9" t="s">
        <v>1777</v>
      </c>
      <c r="G606" s="8" t="s">
        <v>1777</v>
      </c>
      <c r="H606" s="15"/>
      <c r="I606" s="15"/>
      <c r="J606" s="10"/>
      <c r="K606" s="10"/>
      <c r="L606" s="10"/>
      <c r="M606" s="11" t="str">
        <f aca="false">IF(COUNTA(J606:L606)&lt;3,"",IF(COUNTIF(J606:L606,"유지")=3,"채택","제외"))</f>
        <v/>
      </c>
      <c r="N606" s="12"/>
    </row>
    <row r="607" customFormat="false" ht="15" hidden="false" customHeight="false" outlineLevel="0" collapsed="false">
      <c r="A607" s="7" t="n">
        <v>606</v>
      </c>
      <c r="B607" s="7" t="s">
        <v>1025</v>
      </c>
      <c r="C607" s="7" t="s">
        <v>1728</v>
      </c>
      <c r="D607" s="7" t="s">
        <v>1778</v>
      </c>
      <c r="E607" s="8" t="s">
        <v>1737</v>
      </c>
      <c r="F607" s="9" t="s">
        <v>1738</v>
      </c>
      <c r="G607" s="8" t="s">
        <v>1738</v>
      </c>
      <c r="H607" s="13" t="s">
        <v>87</v>
      </c>
      <c r="I607" s="14"/>
      <c r="J607" s="10"/>
      <c r="K607" s="10"/>
      <c r="L607" s="10"/>
      <c r="M607" s="11" t="str">
        <f aca="false">IF(COUNTA(J607:L607)&lt;3,"",IF(COUNTIF(J607:L607,"유지")=3,"채택","제외"))</f>
        <v/>
      </c>
      <c r="N607" s="12"/>
    </row>
    <row r="608" customFormat="false" ht="15" hidden="false" customHeight="false" outlineLevel="0" collapsed="false">
      <c r="A608" s="7" t="n">
        <v>607</v>
      </c>
      <c r="B608" s="7" t="s">
        <v>1025</v>
      </c>
      <c r="C608" s="7" t="s">
        <v>1728</v>
      </c>
      <c r="D608" s="7" t="s">
        <v>1779</v>
      </c>
      <c r="E608" s="8" t="s">
        <v>1780</v>
      </c>
      <c r="F608" s="9" t="s">
        <v>1781</v>
      </c>
      <c r="G608" s="8" t="s">
        <v>1781</v>
      </c>
      <c r="H608" s="15"/>
      <c r="I608" s="15"/>
      <c r="J608" s="10"/>
      <c r="K608" s="10"/>
      <c r="L608" s="10"/>
      <c r="M608" s="11" t="str">
        <f aca="false">IF(COUNTA(J608:L608)&lt;3,"",IF(COUNTIF(J608:L608,"유지")=3,"채택","제외"))</f>
        <v/>
      </c>
      <c r="N608" s="12"/>
    </row>
    <row r="609" customFormat="false" ht="15" hidden="false" customHeight="false" outlineLevel="0" collapsed="false">
      <c r="A609" s="7" t="n">
        <v>608</v>
      </c>
      <c r="B609" s="7" t="s">
        <v>1025</v>
      </c>
      <c r="C609" s="7" t="s">
        <v>1728</v>
      </c>
      <c r="D609" s="7" t="s">
        <v>1782</v>
      </c>
      <c r="E609" s="8" t="s">
        <v>1783</v>
      </c>
      <c r="F609" s="9" t="s">
        <v>1784</v>
      </c>
      <c r="G609" s="8" t="s">
        <v>1784</v>
      </c>
      <c r="H609" s="15"/>
      <c r="I609" s="15"/>
      <c r="J609" s="10"/>
      <c r="K609" s="10"/>
      <c r="L609" s="10"/>
      <c r="M609" s="11" t="str">
        <f aca="false">IF(COUNTA(J609:L609)&lt;3,"",IF(COUNTIF(J609:L609,"유지")=3,"채택","제외"))</f>
        <v/>
      </c>
      <c r="N609" s="12"/>
    </row>
    <row r="610" customFormat="false" ht="15" hidden="false" customHeight="false" outlineLevel="0" collapsed="false">
      <c r="A610" s="7" t="n">
        <v>609</v>
      </c>
      <c r="B610" s="7" t="s">
        <v>1025</v>
      </c>
      <c r="C610" s="7" t="s">
        <v>1728</v>
      </c>
      <c r="D610" s="7" t="s">
        <v>1782</v>
      </c>
      <c r="E610" s="8" t="s">
        <v>1785</v>
      </c>
      <c r="F610" s="9" t="s">
        <v>1786</v>
      </c>
      <c r="G610" s="8" t="s">
        <v>1786</v>
      </c>
      <c r="H610" s="15"/>
      <c r="I610" s="15"/>
      <c r="J610" s="10"/>
      <c r="K610" s="10"/>
      <c r="L610" s="10"/>
      <c r="M610" s="11" t="str">
        <f aca="false">IF(COUNTA(J610:L610)&lt;3,"",IF(COUNTIF(J610:L610,"유지")=3,"채택","제외"))</f>
        <v/>
      </c>
      <c r="N610" s="12"/>
    </row>
    <row r="611" customFormat="false" ht="15" hidden="false" customHeight="false" outlineLevel="0" collapsed="false">
      <c r="A611" s="7" t="n">
        <v>610</v>
      </c>
      <c r="B611" s="7" t="s">
        <v>1025</v>
      </c>
      <c r="C611" s="7" t="s">
        <v>1728</v>
      </c>
      <c r="D611" s="7" t="s">
        <v>1787</v>
      </c>
      <c r="E611" s="8" t="s">
        <v>1072</v>
      </c>
      <c r="F611" s="9" t="s">
        <v>1073</v>
      </c>
      <c r="G611" s="8" t="s">
        <v>1073</v>
      </c>
      <c r="H611" s="13" t="s">
        <v>87</v>
      </c>
      <c r="I611" s="14"/>
      <c r="J611" s="10"/>
      <c r="K611" s="10"/>
      <c r="L611" s="10"/>
      <c r="M611" s="11" t="str">
        <f aca="false">IF(COUNTA(J611:L611)&lt;3,"",IF(COUNTIF(J611:L611,"유지")=3,"채택","제외"))</f>
        <v/>
      </c>
      <c r="N611" s="12"/>
    </row>
    <row r="612" customFormat="false" ht="15" hidden="false" customHeight="false" outlineLevel="0" collapsed="false">
      <c r="A612" s="7" t="n">
        <v>611</v>
      </c>
      <c r="B612" s="7" t="s">
        <v>1025</v>
      </c>
      <c r="C612" s="7" t="s">
        <v>1728</v>
      </c>
      <c r="D612" s="7" t="s">
        <v>1788</v>
      </c>
      <c r="E612" s="8" t="s">
        <v>1619</v>
      </c>
      <c r="F612" s="9" t="s">
        <v>1620</v>
      </c>
      <c r="G612" s="8" t="s">
        <v>1620</v>
      </c>
      <c r="H612" s="13" t="s">
        <v>87</v>
      </c>
      <c r="I612" s="14"/>
      <c r="J612" s="10"/>
      <c r="K612" s="10"/>
      <c r="L612" s="10"/>
      <c r="M612" s="11" t="str">
        <f aca="false">IF(COUNTA(J612:L612)&lt;3,"",IF(COUNTIF(J612:L612,"유지")=3,"채택","제외"))</f>
        <v/>
      </c>
      <c r="N612" s="12"/>
    </row>
    <row r="613" customFormat="false" ht="15" hidden="false" customHeight="false" outlineLevel="0" collapsed="false">
      <c r="A613" s="7" t="n">
        <v>612</v>
      </c>
      <c r="B613" s="7" t="s">
        <v>1025</v>
      </c>
      <c r="C613" s="7" t="s">
        <v>1728</v>
      </c>
      <c r="D613" s="7" t="s">
        <v>1789</v>
      </c>
      <c r="E613" s="8" t="s">
        <v>1790</v>
      </c>
      <c r="F613" s="9" t="s">
        <v>1791</v>
      </c>
      <c r="G613" s="8" t="s">
        <v>1791</v>
      </c>
      <c r="H613" s="15"/>
      <c r="I613" s="15"/>
      <c r="J613" s="10"/>
      <c r="K613" s="10"/>
      <c r="L613" s="10"/>
      <c r="M613" s="11" t="str">
        <f aca="false">IF(COUNTA(J613:L613)&lt;3,"",IF(COUNTIF(J613:L613,"유지")=3,"채택","제외"))</f>
        <v/>
      </c>
      <c r="N613" s="12"/>
    </row>
    <row r="614" customFormat="false" ht="15" hidden="false" customHeight="false" outlineLevel="0" collapsed="false">
      <c r="A614" s="7" t="n">
        <v>613</v>
      </c>
      <c r="B614" s="7" t="s">
        <v>1025</v>
      </c>
      <c r="C614" s="7" t="s">
        <v>1728</v>
      </c>
      <c r="D614" s="7" t="s">
        <v>1792</v>
      </c>
      <c r="E614" s="8" t="s">
        <v>1793</v>
      </c>
      <c r="F614" s="9" t="s">
        <v>1794</v>
      </c>
      <c r="G614" s="8" t="s">
        <v>1794</v>
      </c>
      <c r="H614" s="15"/>
      <c r="I614" s="15"/>
      <c r="J614" s="10"/>
      <c r="K614" s="10"/>
      <c r="L614" s="10"/>
      <c r="M614" s="11" t="str">
        <f aca="false">IF(COUNTA(J614:L614)&lt;3,"",IF(COUNTIF(J614:L614,"유지")=3,"채택","제외"))</f>
        <v/>
      </c>
      <c r="N614" s="12"/>
    </row>
    <row r="615" customFormat="false" ht="15" hidden="false" customHeight="false" outlineLevel="0" collapsed="false">
      <c r="A615" s="7" t="n">
        <v>614</v>
      </c>
      <c r="B615" s="7" t="s">
        <v>1025</v>
      </c>
      <c r="C615" s="7" t="s">
        <v>1728</v>
      </c>
      <c r="D615" s="7" t="s">
        <v>1795</v>
      </c>
      <c r="E615" s="8" t="s">
        <v>1796</v>
      </c>
      <c r="F615" s="9" t="s">
        <v>1797</v>
      </c>
      <c r="G615" s="8" t="s">
        <v>1797</v>
      </c>
      <c r="H615" s="13" t="s">
        <v>87</v>
      </c>
      <c r="I615" s="14"/>
      <c r="J615" s="10"/>
      <c r="K615" s="10"/>
      <c r="L615" s="10"/>
      <c r="M615" s="11" t="str">
        <f aca="false">IF(COUNTA(J615:L615)&lt;3,"",IF(COUNTIF(J615:L615,"유지")=3,"채택","제외"))</f>
        <v/>
      </c>
      <c r="N615" s="12"/>
    </row>
    <row r="616" customFormat="false" ht="15" hidden="false" customHeight="false" outlineLevel="0" collapsed="false">
      <c r="A616" s="7" t="n">
        <v>615</v>
      </c>
      <c r="B616" s="7" t="s">
        <v>1025</v>
      </c>
      <c r="C616" s="7" t="s">
        <v>1728</v>
      </c>
      <c r="D616" s="7" t="s">
        <v>1798</v>
      </c>
      <c r="E616" s="8" t="s">
        <v>1799</v>
      </c>
      <c r="F616" s="9" t="s">
        <v>1800</v>
      </c>
      <c r="G616" s="8" t="s">
        <v>1801</v>
      </c>
      <c r="H616" s="15"/>
      <c r="I616" s="15"/>
      <c r="J616" s="10"/>
      <c r="K616" s="10"/>
      <c r="L616" s="10"/>
      <c r="M616" s="11" t="str">
        <f aca="false">IF(COUNTA(J616:L616)&lt;3,"",IF(COUNTIF(J616:L616,"유지")=3,"채택","제외"))</f>
        <v/>
      </c>
      <c r="N616" s="12"/>
    </row>
    <row r="617" customFormat="false" ht="15" hidden="false" customHeight="false" outlineLevel="0" collapsed="false">
      <c r="A617" s="7" t="n">
        <v>616</v>
      </c>
      <c r="B617" s="7" t="s">
        <v>1025</v>
      </c>
      <c r="C617" s="7" t="s">
        <v>1728</v>
      </c>
      <c r="D617" s="7" t="s">
        <v>1802</v>
      </c>
      <c r="E617" s="8" t="s">
        <v>1803</v>
      </c>
      <c r="F617" s="9" t="s">
        <v>1804</v>
      </c>
      <c r="G617" s="8" t="s">
        <v>1804</v>
      </c>
      <c r="H617" s="13" t="s">
        <v>87</v>
      </c>
      <c r="I617" s="14"/>
      <c r="J617" s="10"/>
      <c r="K617" s="10"/>
      <c r="L617" s="10"/>
      <c r="M617" s="11" t="str">
        <f aca="false">IF(COUNTA(J617:L617)&lt;3,"",IF(COUNTIF(J617:L617,"유지")=3,"채택","제외"))</f>
        <v/>
      </c>
      <c r="N617" s="12"/>
    </row>
    <row r="618" customFormat="false" ht="15" hidden="false" customHeight="false" outlineLevel="0" collapsed="false">
      <c r="A618" s="7" t="n">
        <v>617</v>
      </c>
      <c r="B618" s="7" t="s">
        <v>1025</v>
      </c>
      <c r="C618" s="7" t="s">
        <v>1728</v>
      </c>
      <c r="D618" s="7" t="s">
        <v>1805</v>
      </c>
      <c r="E618" s="8" t="s">
        <v>1806</v>
      </c>
      <c r="F618" s="9" t="s">
        <v>1807</v>
      </c>
      <c r="G618" s="8" t="s">
        <v>1807</v>
      </c>
      <c r="H618" s="15"/>
      <c r="I618" s="15"/>
      <c r="J618" s="10"/>
      <c r="K618" s="10"/>
      <c r="L618" s="10"/>
      <c r="M618" s="11" t="str">
        <f aca="false">IF(COUNTA(J618:L618)&lt;3,"",IF(COUNTIF(J618:L618,"유지")=3,"채택","제외"))</f>
        <v/>
      </c>
      <c r="N618" s="12"/>
    </row>
    <row r="619" customFormat="false" ht="15" hidden="false" customHeight="false" outlineLevel="0" collapsed="false">
      <c r="A619" s="7" t="n">
        <v>618</v>
      </c>
      <c r="B619" s="7" t="s">
        <v>1025</v>
      </c>
      <c r="C619" s="7" t="s">
        <v>1728</v>
      </c>
      <c r="D619" s="7" t="s">
        <v>1808</v>
      </c>
      <c r="E619" s="8" t="s">
        <v>1809</v>
      </c>
      <c r="F619" s="9" t="s">
        <v>1810</v>
      </c>
      <c r="G619" s="8" t="s">
        <v>1810</v>
      </c>
      <c r="H619" s="15"/>
      <c r="I619" s="15"/>
      <c r="J619" s="10"/>
      <c r="K619" s="10"/>
      <c r="L619" s="10"/>
      <c r="M619" s="11" t="str">
        <f aca="false">IF(COUNTA(J619:L619)&lt;3,"",IF(COUNTIF(J619:L619,"유지")=3,"채택","제외"))</f>
        <v/>
      </c>
      <c r="N619" s="12"/>
    </row>
    <row r="620" customFormat="false" ht="15" hidden="false" customHeight="false" outlineLevel="0" collapsed="false">
      <c r="A620" s="7" t="n">
        <v>619</v>
      </c>
      <c r="B620" s="7" t="s">
        <v>1025</v>
      </c>
      <c r="C620" s="7" t="s">
        <v>1728</v>
      </c>
      <c r="D620" s="7" t="s">
        <v>1811</v>
      </c>
      <c r="E620" s="8" t="s">
        <v>1812</v>
      </c>
      <c r="F620" s="9" t="s">
        <v>1813</v>
      </c>
      <c r="G620" s="8" t="s">
        <v>1814</v>
      </c>
      <c r="H620" s="15"/>
      <c r="I620" s="15"/>
      <c r="J620" s="10"/>
      <c r="K620" s="10"/>
      <c r="L620" s="10"/>
      <c r="M620" s="11" t="str">
        <f aca="false">IF(COUNTA(J620:L620)&lt;3,"",IF(COUNTIF(J620:L620,"유지")=3,"채택","제외"))</f>
        <v/>
      </c>
      <c r="N620" s="12"/>
    </row>
    <row r="621" customFormat="false" ht="15" hidden="false" customHeight="false" outlineLevel="0" collapsed="false">
      <c r="A621" s="7" t="n">
        <v>620</v>
      </c>
      <c r="B621" s="7" t="s">
        <v>1025</v>
      </c>
      <c r="C621" s="7" t="s">
        <v>1728</v>
      </c>
      <c r="D621" s="7" t="s">
        <v>1815</v>
      </c>
      <c r="E621" s="8" t="s">
        <v>1816</v>
      </c>
      <c r="F621" s="9" t="s">
        <v>1817</v>
      </c>
      <c r="G621" s="8" t="s">
        <v>1818</v>
      </c>
      <c r="H621" s="15"/>
      <c r="I621" s="15"/>
      <c r="J621" s="10"/>
      <c r="K621" s="10"/>
      <c r="L621" s="10"/>
      <c r="M621" s="11" t="str">
        <f aca="false">IF(COUNTA(J621:L621)&lt;3,"",IF(COUNTIF(J621:L621,"유지")=3,"채택","제외"))</f>
        <v/>
      </c>
      <c r="N621" s="12"/>
    </row>
    <row r="622" customFormat="false" ht="15" hidden="false" customHeight="false" outlineLevel="0" collapsed="false">
      <c r="A622" s="7" t="n">
        <v>621</v>
      </c>
      <c r="B622" s="7" t="s">
        <v>1025</v>
      </c>
      <c r="C622" s="7" t="s">
        <v>1728</v>
      </c>
      <c r="D622" s="7" t="s">
        <v>1819</v>
      </c>
      <c r="E622" s="8" t="s">
        <v>1820</v>
      </c>
      <c r="F622" s="9" t="s">
        <v>1821</v>
      </c>
      <c r="G622" s="8" t="s">
        <v>1822</v>
      </c>
      <c r="H622" s="13" t="s">
        <v>74</v>
      </c>
      <c r="I622" s="14"/>
      <c r="J622" s="10"/>
      <c r="K622" s="10"/>
      <c r="L622" s="10"/>
      <c r="M622" s="11" t="str">
        <f aca="false">IF(COUNTA(J622:L622)&lt;3,"",IF(COUNTIF(J622:L622,"유지")=3,"채택","제외"))</f>
        <v/>
      </c>
      <c r="N622" s="12"/>
    </row>
    <row r="623" customFormat="false" ht="15" hidden="false" customHeight="false" outlineLevel="0" collapsed="false">
      <c r="A623" s="7" t="n">
        <v>622</v>
      </c>
      <c r="B623" s="7" t="s">
        <v>1025</v>
      </c>
      <c r="C623" s="7" t="s">
        <v>1728</v>
      </c>
      <c r="D623" s="7" t="s">
        <v>1823</v>
      </c>
      <c r="E623" s="8" t="s">
        <v>1824</v>
      </c>
      <c r="F623" s="9" t="s">
        <v>1825</v>
      </c>
      <c r="G623" s="8" t="s">
        <v>1825</v>
      </c>
      <c r="H623" s="13" t="s">
        <v>87</v>
      </c>
      <c r="I623" s="14"/>
      <c r="J623" s="10"/>
      <c r="K623" s="10"/>
      <c r="L623" s="10"/>
      <c r="M623" s="11" t="str">
        <f aca="false">IF(COUNTA(J623:L623)&lt;3,"",IF(COUNTIF(J623:L623,"유지")=3,"채택","제외"))</f>
        <v/>
      </c>
      <c r="N623" s="12"/>
    </row>
    <row r="624" customFormat="false" ht="15" hidden="false" customHeight="false" outlineLevel="0" collapsed="false">
      <c r="A624" s="7" t="n">
        <v>623</v>
      </c>
      <c r="B624" s="7" t="s">
        <v>1025</v>
      </c>
      <c r="C624" s="7" t="s">
        <v>1728</v>
      </c>
      <c r="D624" s="7" t="s">
        <v>1826</v>
      </c>
      <c r="E624" s="8" t="s">
        <v>1796</v>
      </c>
      <c r="F624" s="9" t="s">
        <v>1797</v>
      </c>
      <c r="G624" s="8" t="s">
        <v>1797</v>
      </c>
      <c r="H624" s="13" t="s">
        <v>87</v>
      </c>
      <c r="I624" s="14"/>
      <c r="J624" s="10"/>
      <c r="K624" s="10"/>
      <c r="L624" s="10"/>
      <c r="M624" s="11" t="str">
        <f aca="false">IF(COUNTA(J624:L624)&lt;3,"",IF(COUNTIF(J624:L624,"유지")=3,"채택","제외"))</f>
        <v/>
      </c>
      <c r="N624" s="12"/>
    </row>
    <row r="625" customFormat="false" ht="15" hidden="false" customHeight="false" outlineLevel="0" collapsed="false">
      <c r="A625" s="7" t="n">
        <v>624</v>
      </c>
      <c r="B625" s="7" t="s">
        <v>1025</v>
      </c>
      <c r="C625" s="7" t="s">
        <v>1728</v>
      </c>
      <c r="D625" s="7" t="s">
        <v>1827</v>
      </c>
      <c r="E625" s="8" t="s">
        <v>1828</v>
      </c>
      <c r="F625" s="9" t="s">
        <v>1829</v>
      </c>
      <c r="G625" s="8" t="s">
        <v>1829</v>
      </c>
      <c r="H625" s="15"/>
      <c r="I625" s="15"/>
      <c r="J625" s="10"/>
      <c r="K625" s="10"/>
      <c r="L625" s="10"/>
      <c r="M625" s="11" t="str">
        <f aca="false">IF(COUNTA(J625:L625)&lt;3,"",IF(COUNTIF(J625:L625,"유지")=3,"채택","제외"))</f>
        <v/>
      </c>
      <c r="N625" s="12"/>
    </row>
    <row r="626" customFormat="false" ht="15" hidden="false" customHeight="false" outlineLevel="0" collapsed="false">
      <c r="A626" s="7" t="n">
        <v>625</v>
      </c>
      <c r="B626" s="7" t="s">
        <v>1025</v>
      </c>
      <c r="C626" s="7" t="s">
        <v>1728</v>
      </c>
      <c r="D626" s="7" t="s">
        <v>1830</v>
      </c>
      <c r="E626" s="8" t="s">
        <v>1831</v>
      </c>
      <c r="F626" s="9" t="s">
        <v>1832</v>
      </c>
      <c r="G626" s="8" t="s">
        <v>1833</v>
      </c>
      <c r="H626" s="15"/>
      <c r="I626" s="15"/>
      <c r="J626" s="10"/>
      <c r="K626" s="10"/>
      <c r="L626" s="10"/>
      <c r="M626" s="11" t="str">
        <f aca="false">IF(COUNTA(J626:L626)&lt;3,"",IF(COUNTIF(J626:L626,"유지")=3,"채택","제외"))</f>
        <v/>
      </c>
      <c r="N626" s="12"/>
    </row>
    <row r="627" customFormat="false" ht="15" hidden="false" customHeight="false" outlineLevel="0" collapsed="false">
      <c r="A627" s="7" t="n">
        <v>626</v>
      </c>
      <c r="B627" s="7" t="s">
        <v>1025</v>
      </c>
      <c r="C627" s="7" t="s">
        <v>1728</v>
      </c>
      <c r="D627" s="7" t="s">
        <v>1834</v>
      </c>
      <c r="E627" s="8" t="s">
        <v>1835</v>
      </c>
      <c r="F627" s="9" t="s">
        <v>1836</v>
      </c>
      <c r="G627" s="8" t="s">
        <v>1836</v>
      </c>
      <c r="H627" s="15"/>
      <c r="I627" s="15"/>
      <c r="J627" s="10"/>
      <c r="K627" s="10"/>
      <c r="L627" s="10"/>
      <c r="M627" s="11" t="str">
        <f aca="false">IF(COUNTA(J627:L627)&lt;3,"",IF(COUNTIF(J627:L627,"유지")=3,"채택","제외"))</f>
        <v/>
      </c>
      <c r="N627" s="12"/>
    </row>
    <row r="628" customFormat="false" ht="15" hidden="false" customHeight="false" outlineLevel="0" collapsed="false">
      <c r="A628" s="7" t="n">
        <v>627</v>
      </c>
      <c r="B628" s="7" t="s">
        <v>1025</v>
      </c>
      <c r="C628" s="7" t="s">
        <v>1728</v>
      </c>
      <c r="D628" s="7" t="s">
        <v>1837</v>
      </c>
      <c r="E628" s="8" t="s">
        <v>1838</v>
      </c>
      <c r="F628" s="9" t="s">
        <v>1839</v>
      </c>
      <c r="G628" s="8" t="s">
        <v>1839</v>
      </c>
      <c r="H628" s="15"/>
      <c r="I628" s="15"/>
      <c r="J628" s="10"/>
      <c r="K628" s="10"/>
      <c r="L628" s="10"/>
      <c r="M628" s="11" t="str">
        <f aca="false">IF(COUNTA(J628:L628)&lt;3,"",IF(COUNTIF(J628:L628,"유지")=3,"채택","제외"))</f>
        <v/>
      </c>
      <c r="N628" s="12"/>
    </row>
    <row r="629" customFormat="false" ht="15" hidden="false" customHeight="false" outlineLevel="0" collapsed="false">
      <c r="A629" s="7" t="n">
        <v>628</v>
      </c>
      <c r="B629" s="7" t="s">
        <v>1025</v>
      </c>
      <c r="C629" s="7" t="s">
        <v>1728</v>
      </c>
      <c r="D629" s="7" t="s">
        <v>1840</v>
      </c>
      <c r="E629" s="8" t="s">
        <v>1841</v>
      </c>
      <c r="F629" s="9" t="s">
        <v>1842</v>
      </c>
      <c r="G629" s="8" t="s">
        <v>1842</v>
      </c>
      <c r="H629" s="15"/>
      <c r="I629" s="15"/>
      <c r="J629" s="10"/>
      <c r="K629" s="10"/>
      <c r="L629" s="10"/>
      <c r="M629" s="11" t="str">
        <f aca="false">IF(COUNTA(J629:L629)&lt;3,"",IF(COUNTIF(J629:L629,"유지")=3,"채택","제외"))</f>
        <v/>
      </c>
      <c r="N629" s="12"/>
    </row>
    <row r="630" customFormat="false" ht="15" hidden="false" customHeight="false" outlineLevel="0" collapsed="false">
      <c r="A630" s="7" t="n">
        <v>629</v>
      </c>
      <c r="B630" s="7" t="s">
        <v>1025</v>
      </c>
      <c r="C630" s="7" t="s">
        <v>1728</v>
      </c>
      <c r="D630" s="7" t="s">
        <v>1843</v>
      </c>
      <c r="E630" s="8" t="s">
        <v>1803</v>
      </c>
      <c r="F630" s="9" t="s">
        <v>1804</v>
      </c>
      <c r="G630" s="8" t="s">
        <v>1804</v>
      </c>
      <c r="H630" s="13" t="s">
        <v>87</v>
      </c>
      <c r="I630" s="14"/>
      <c r="J630" s="10"/>
      <c r="K630" s="10"/>
      <c r="L630" s="10"/>
      <c r="M630" s="11" t="str">
        <f aca="false">IF(COUNTA(J630:L630)&lt;3,"",IF(COUNTIF(J630:L630,"유지")=3,"채택","제외"))</f>
        <v/>
      </c>
      <c r="N630" s="12"/>
    </row>
    <row r="631" customFormat="false" ht="15" hidden="false" customHeight="false" outlineLevel="0" collapsed="false">
      <c r="A631" s="7" t="n">
        <v>630</v>
      </c>
      <c r="B631" s="7" t="s">
        <v>1025</v>
      </c>
      <c r="C631" s="7" t="s">
        <v>1728</v>
      </c>
      <c r="D631" s="7" t="s">
        <v>1844</v>
      </c>
      <c r="E631" s="8" t="s">
        <v>1824</v>
      </c>
      <c r="F631" s="9" t="s">
        <v>1825</v>
      </c>
      <c r="G631" s="8" t="s">
        <v>1825</v>
      </c>
      <c r="H631" s="13" t="s">
        <v>87</v>
      </c>
      <c r="I631" s="14"/>
      <c r="J631" s="10"/>
      <c r="K631" s="10"/>
      <c r="L631" s="10"/>
      <c r="M631" s="11" t="str">
        <f aca="false">IF(COUNTA(J631:L631)&lt;3,"",IF(COUNTIF(J631:L631,"유지")=3,"채택","제외"))</f>
        <v/>
      </c>
      <c r="N631" s="12"/>
    </row>
    <row r="632" customFormat="false" ht="15" hidden="false" customHeight="false" outlineLevel="0" collapsed="false">
      <c r="A632" s="7" t="n">
        <v>631</v>
      </c>
      <c r="B632" s="7" t="s">
        <v>1025</v>
      </c>
      <c r="C632" s="7" t="s">
        <v>1728</v>
      </c>
      <c r="D632" s="7" t="s">
        <v>1845</v>
      </c>
      <c r="E632" s="8" t="s">
        <v>1846</v>
      </c>
      <c r="F632" s="9" t="s">
        <v>1847</v>
      </c>
      <c r="G632" s="8" t="s">
        <v>1847</v>
      </c>
      <c r="H632" s="15"/>
      <c r="I632" s="15"/>
      <c r="J632" s="10"/>
      <c r="K632" s="10"/>
      <c r="L632" s="10"/>
      <c r="M632" s="11" t="str">
        <f aca="false">IF(COUNTA(J632:L632)&lt;3,"",IF(COUNTIF(J632:L632,"유지")=3,"채택","제외"))</f>
        <v/>
      </c>
      <c r="N632" s="12"/>
    </row>
    <row r="633" customFormat="false" ht="15" hidden="false" customHeight="false" outlineLevel="0" collapsed="false">
      <c r="A633" s="7" t="n">
        <v>632</v>
      </c>
      <c r="B633" s="7" t="s">
        <v>1025</v>
      </c>
      <c r="C633" s="7" t="s">
        <v>1728</v>
      </c>
      <c r="D633" s="7" t="s">
        <v>1848</v>
      </c>
      <c r="E633" s="8" t="s">
        <v>1849</v>
      </c>
      <c r="F633" s="9" t="s">
        <v>1850</v>
      </c>
      <c r="G633" s="8" t="s">
        <v>1850</v>
      </c>
      <c r="H633" s="13" t="s">
        <v>87</v>
      </c>
      <c r="I633" s="14"/>
      <c r="J633" s="10"/>
      <c r="K633" s="10"/>
      <c r="L633" s="10"/>
      <c r="M633" s="11" t="str">
        <f aca="false">IF(COUNTA(J633:L633)&lt;3,"",IF(COUNTIF(J633:L633,"유지")=3,"채택","제외"))</f>
        <v/>
      </c>
      <c r="N633" s="12"/>
    </row>
    <row r="634" customFormat="false" ht="15" hidden="false" customHeight="false" outlineLevel="0" collapsed="false">
      <c r="A634" s="7" t="n">
        <v>633</v>
      </c>
      <c r="B634" s="7" t="s">
        <v>1025</v>
      </c>
      <c r="C634" s="7" t="s">
        <v>1728</v>
      </c>
      <c r="D634" s="7" t="s">
        <v>1851</v>
      </c>
      <c r="E634" s="8" t="s">
        <v>1300</v>
      </c>
      <c r="F634" s="9" t="s">
        <v>1301</v>
      </c>
      <c r="G634" s="8" t="s">
        <v>1301</v>
      </c>
      <c r="H634" s="13" t="s">
        <v>87</v>
      </c>
      <c r="I634" s="14"/>
      <c r="J634" s="10"/>
      <c r="K634" s="10"/>
      <c r="L634" s="10"/>
      <c r="M634" s="11" t="str">
        <f aca="false">IF(COUNTA(J634:L634)&lt;3,"",IF(COUNTIF(J634:L634,"유지")=3,"채택","제외"))</f>
        <v/>
      </c>
      <c r="N634" s="12"/>
    </row>
    <row r="635" customFormat="false" ht="15" hidden="false" customHeight="false" outlineLevel="0" collapsed="false">
      <c r="A635" s="7" t="n">
        <v>634</v>
      </c>
      <c r="B635" s="7" t="s">
        <v>1025</v>
      </c>
      <c r="C635" s="7" t="s">
        <v>1728</v>
      </c>
      <c r="D635" s="7" t="s">
        <v>1852</v>
      </c>
      <c r="E635" s="8" t="s">
        <v>1849</v>
      </c>
      <c r="F635" s="9" t="s">
        <v>1850</v>
      </c>
      <c r="G635" s="8" t="s">
        <v>1850</v>
      </c>
      <c r="H635" s="13" t="s">
        <v>87</v>
      </c>
      <c r="I635" s="14"/>
      <c r="J635" s="10"/>
      <c r="K635" s="10"/>
      <c r="L635" s="10"/>
      <c r="M635" s="11" t="str">
        <f aca="false">IF(COUNTA(J635:L635)&lt;3,"",IF(COUNTIF(J635:L635,"유지")=3,"채택","제외"))</f>
        <v/>
      </c>
      <c r="N635" s="12"/>
    </row>
    <row r="636" customFormat="false" ht="15" hidden="false" customHeight="false" outlineLevel="0" collapsed="false">
      <c r="A636" s="7" t="n">
        <v>635</v>
      </c>
      <c r="B636" s="7" t="s">
        <v>1025</v>
      </c>
      <c r="C636" s="7" t="s">
        <v>1728</v>
      </c>
      <c r="D636" s="7" t="s">
        <v>1853</v>
      </c>
      <c r="E636" s="8" t="s">
        <v>1854</v>
      </c>
      <c r="F636" s="9" t="s">
        <v>1855</v>
      </c>
      <c r="G636" s="8" t="s">
        <v>1855</v>
      </c>
      <c r="H636" s="15"/>
      <c r="I636" s="15"/>
      <c r="J636" s="10"/>
      <c r="K636" s="10"/>
      <c r="L636" s="10"/>
      <c r="M636" s="11" t="str">
        <f aca="false">IF(COUNTA(J636:L636)&lt;3,"",IF(COUNTIF(J636:L636,"유지")=3,"채택","제외"))</f>
        <v/>
      </c>
      <c r="N636" s="12"/>
    </row>
    <row r="637" customFormat="false" ht="15" hidden="false" customHeight="false" outlineLevel="0" collapsed="false">
      <c r="A637" s="7" t="n">
        <v>636</v>
      </c>
      <c r="B637" s="7" t="s">
        <v>1025</v>
      </c>
      <c r="C637" s="7" t="s">
        <v>1728</v>
      </c>
      <c r="D637" s="7" t="s">
        <v>1856</v>
      </c>
      <c r="E637" s="8" t="s">
        <v>1857</v>
      </c>
      <c r="F637" s="9" t="s">
        <v>1858</v>
      </c>
      <c r="G637" s="8" t="s">
        <v>1858</v>
      </c>
      <c r="H637" s="15"/>
      <c r="I637" s="15"/>
      <c r="J637" s="10"/>
      <c r="K637" s="10"/>
      <c r="L637" s="10"/>
      <c r="M637" s="11" t="str">
        <f aca="false">IF(COUNTA(J637:L637)&lt;3,"",IF(COUNTIF(J637:L637,"유지")=3,"채택","제외"))</f>
        <v/>
      </c>
      <c r="N637" s="12"/>
    </row>
    <row r="638" customFormat="false" ht="15" hidden="false" customHeight="false" outlineLevel="0" collapsed="false">
      <c r="A638" s="7" t="n">
        <v>637</v>
      </c>
      <c r="B638" s="7" t="s">
        <v>1025</v>
      </c>
      <c r="C638" s="7" t="s">
        <v>1859</v>
      </c>
      <c r="D638" s="7" t="s">
        <v>1859</v>
      </c>
      <c r="E638" s="8" t="s">
        <v>1860</v>
      </c>
      <c r="F638" s="9" t="s">
        <v>1861</v>
      </c>
      <c r="G638" s="8" t="s">
        <v>1861</v>
      </c>
      <c r="H638" s="13" t="s">
        <v>87</v>
      </c>
      <c r="I638" s="14"/>
      <c r="J638" s="10"/>
      <c r="K638" s="10"/>
      <c r="L638" s="10"/>
      <c r="M638" s="11" t="str">
        <f aca="false">IF(COUNTA(J638:L638)&lt;3,"",IF(COUNTIF(J638:L638,"유지")=3,"채택","제외"))</f>
        <v/>
      </c>
      <c r="N638" s="12"/>
    </row>
    <row r="639" customFormat="false" ht="15" hidden="false" customHeight="false" outlineLevel="0" collapsed="false">
      <c r="A639" s="7" t="n">
        <v>638</v>
      </c>
      <c r="B639" s="7" t="s">
        <v>1025</v>
      </c>
      <c r="C639" s="7" t="s">
        <v>1859</v>
      </c>
      <c r="D639" s="7" t="s">
        <v>1862</v>
      </c>
      <c r="E639" s="8" t="s">
        <v>1863</v>
      </c>
      <c r="F639" s="9" t="s">
        <v>1864</v>
      </c>
      <c r="G639" s="8" t="s">
        <v>1864</v>
      </c>
      <c r="H639" s="13" t="s">
        <v>87</v>
      </c>
      <c r="I639" s="14"/>
      <c r="J639" s="10"/>
      <c r="K639" s="10"/>
      <c r="L639" s="10"/>
      <c r="M639" s="11" t="str">
        <f aca="false">IF(COUNTA(J639:L639)&lt;3,"",IF(COUNTIF(J639:L639,"유지")=3,"채택","제외"))</f>
        <v/>
      </c>
      <c r="N639" s="12"/>
    </row>
    <row r="640" customFormat="false" ht="15" hidden="false" customHeight="false" outlineLevel="0" collapsed="false">
      <c r="A640" s="7" t="n">
        <v>639</v>
      </c>
      <c r="B640" s="7" t="s">
        <v>1025</v>
      </c>
      <c r="C640" s="7" t="s">
        <v>1859</v>
      </c>
      <c r="D640" s="7" t="s">
        <v>1865</v>
      </c>
      <c r="E640" s="8" t="s">
        <v>1434</v>
      </c>
      <c r="F640" s="9" t="s">
        <v>1435</v>
      </c>
      <c r="G640" s="8" t="s">
        <v>1435</v>
      </c>
      <c r="H640" s="13" t="s">
        <v>87</v>
      </c>
      <c r="I640" s="14"/>
      <c r="J640" s="10"/>
      <c r="K640" s="10"/>
      <c r="L640" s="10"/>
      <c r="M640" s="11" t="str">
        <f aca="false">IF(COUNTA(J640:L640)&lt;3,"",IF(COUNTIF(J640:L640,"유지")=3,"채택","제외"))</f>
        <v/>
      </c>
      <c r="N640" s="12"/>
    </row>
    <row r="641" customFormat="false" ht="15" hidden="false" customHeight="false" outlineLevel="0" collapsed="false">
      <c r="A641" s="7" t="n">
        <v>640</v>
      </c>
      <c r="B641" s="7" t="s">
        <v>1025</v>
      </c>
      <c r="C641" s="7" t="s">
        <v>1859</v>
      </c>
      <c r="D641" s="7" t="s">
        <v>1866</v>
      </c>
      <c r="E641" s="8" t="s">
        <v>1867</v>
      </c>
      <c r="F641" s="9" t="s">
        <v>1868</v>
      </c>
      <c r="G641" s="8" t="s">
        <v>1868</v>
      </c>
      <c r="H641" s="15"/>
      <c r="I641" s="15"/>
      <c r="J641" s="10"/>
      <c r="K641" s="10"/>
      <c r="L641" s="10"/>
      <c r="M641" s="11" t="str">
        <f aca="false">IF(COUNTA(J641:L641)&lt;3,"",IF(COUNTIF(J641:L641,"유지")=3,"채택","제외"))</f>
        <v/>
      </c>
      <c r="N641" s="12"/>
    </row>
    <row r="642" customFormat="false" ht="15" hidden="false" customHeight="false" outlineLevel="0" collapsed="false">
      <c r="A642" s="7" t="n">
        <v>641</v>
      </c>
      <c r="B642" s="7" t="s">
        <v>1025</v>
      </c>
      <c r="C642" s="7" t="s">
        <v>1859</v>
      </c>
      <c r="D642" s="7" t="s">
        <v>1866</v>
      </c>
      <c r="E642" s="8" t="s">
        <v>1869</v>
      </c>
      <c r="F642" s="9" t="s">
        <v>1870</v>
      </c>
      <c r="G642" s="8" t="s">
        <v>1871</v>
      </c>
      <c r="H642" s="13" t="s">
        <v>87</v>
      </c>
      <c r="I642" s="14"/>
      <c r="J642" s="10"/>
      <c r="K642" s="10"/>
      <c r="L642" s="10"/>
      <c r="M642" s="11" t="str">
        <f aca="false">IF(COUNTA(J642:L642)&lt;3,"",IF(COUNTIF(J642:L642,"유지")=3,"채택","제외"))</f>
        <v/>
      </c>
      <c r="N642" s="12"/>
    </row>
    <row r="643" customFormat="false" ht="15" hidden="false" customHeight="false" outlineLevel="0" collapsed="false">
      <c r="A643" s="7" t="n">
        <v>642</v>
      </c>
      <c r="B643" s="7" t="s">
        <v>1025</v>
      </c>
      <c r="C643" s="7" t="s">
        <v>1859</v>
      </c>
      <c r="D643" s="7" t="s">
        <v>1872</v>
      </c>
      <c r="E643" s="8" t="s">
        <v>1869</v>
      </c>
      <c r="F643" s="9" t="s">
        <v>1870</v>
      </c>
      <c r="G643" s="8" t="s">
        <v>1871</v>
      </c>
      <c r="H643" s="13" t="s">
        <v>87</v>
      </c>
      <c r="I643" s="14"/>
      <c r="J643" s="10"/>
      <c r="K643" s="10"/>
      <c r="L643" s="10"/>
      <c r="M643" s="11" t="str">
        <f aca="false">IF(COUNTA(J643:L643)&lt;3,"",IF(COUNTIF(J643:L643,"유지")=3,"채택","제외"))</f>
        <v/>
      </c>
      <c r="N643" s="12"/>
    </row>
    <row r="644" customFormat="false" ht="15" hidden="false" customHeight="false" outlineLevel="0" collapsed="false">
      <c r="A644" s="7" t="n">
        <v>643</v>
      </c>
      <c r="B644" s="7" t="s">
        <v>1025</v>
      </c>
      <c r="C644" s="7" t="s">
        <v>1859</v>
      </c>
      <c r="D644" s="7" t="s">
        <v>1873</v>
      </c>
      <c r="E644" s="8" t="s">
        <v>1874</v>
      </c>
      <c r="F644" s="9" t="s">
        <v>1875</v>
      </c>
      <c r="G644" s="8" t="s">
        <v>1875</v>
      </c>
      <c r="H644" s="13" t="s">
        <v>87</v>
      </c>
      <c r="I644" s="14"/>
      <c r="J644" s="10"/>
      <c r="K644" s="10"/>
      <c r="L644" s="10"/>
      <c r="M644" s="11" t="str">
        <f aca="false">IF(COUNTA(J644:L644)&lt;3,"",IF(COUNTIF(J644:L644,"유지")=3,"채택","제외"))</f>
        <v/>
      </c>
      <c r="N644" s="12"/>
    </row>
    <row r="645" customFormat="false" ht="15" hidden="false" customHeight="false" outlineLevel="0" collapsed="false">
      <c r="A645" s="7" t="n">
        <v>644</v>
      </c>
      <c r="B645" s="7" t="s">
        <v>1025</v>
      </c>
      <c r="C645" s="7" t="s">
        <v>1859</v>
      </c>
      <c r="D645" s="7" t="s">
        <v>1876</v>
      </c>
      <c r="E645" s="8" t="s">
        <v>1877</v>
      </c>
      <c r="F645" s="9" t="s">
        <v>1878</v>
      </c>
      <c r="G645" s="8" t="s">
        <v>1878</v>
      </c>
      <c r="H645" s="13" t="s">
        <v>87</v>
      </c>
      <c r="I645" s="14"/>
      <c r="J645" s="10"/>
      <c r="K645" s="10"/>
      <c r="L645" s="10"/>
      <c r="M645" s="11" t="str">
        <f aca="false">IF(COUNTA(J645:L645)&lt;3,"",IF(COUNTIF(J645:L645,"유지")=3,"채택","제외"))</f>
        <v/>
      </c>
      <c r="N645" s="12"/>
    </row>
    <row r="646" customFormat="false" ht="15" hidden="false" customHeight="false" outlineLevel="0" collapsed="false">
      <c r="A646" s="7" t="n">
        <v>645</v>
      </c>
      <c r="B646" s="7" t="s">
        <v>1025</v>
      </c>
      <c r="C646" s="7" t="s">
        <v>1859</v>
      </c>
      <c r="D646" s="7" t="s">
        <v>1879</v>
      </c>
      <c r="E646" s="8" t="s">
        <v>1874</v>
      </c>
      <c r="F646" s="9" t="s">
        <v>1875</v>
      </c>
      <c r="G646" s="8" t="s">
        <v>1875</v>
      </c>
      <c r="H646" s="13" t="s">
        <v>87</v>
      </c>
      <c r="I646" s="14"/>
      <c r="J646" s="10"/>
      <c r="K646" s="10"/>
      <c r="L646" s="10"/>
      <c r="M646" s="11" t="str">
        <f aca="false">IF(COUNTA(J646:L646)&lt;3,"",IF(COUNTIF(J646:L646,"유지")=3,"채택","제외"))</f>
        <v/>
      </c>
      <c r="N646" s="12"/>
    </row>
    <row r="647" customFormat="false" ht="15" hidden="false" customHeight="false" outlineLevel="0" collapsed="false">
      <c r="A647" s="7" t="n">
        <v>646</v>
      </c>
      <c r="B647" s="7" t="s">
        <v>1025</v>
      </c>
      <c r="C647" s="7" t="s">
        <v>1859</v>
      </c>
      <c r="D647" s="7" t="s">
        <v>1880</v>
      </c>
      <c r="E647" s="8" t="s">
        <v>1881</v>
      </c>
      <c r="F647" s="9" t="s">
        <v>1882</v>
      </c>
      <c r="G647" s="8" t="s">
        <v>1882</v>
      </c>
      <c r="H647" s="13" t="s">
        <v>74</v>
      </c>
      <c r="I647" s="14"/>
      <c r="J647" s="10"/>
      <c r="K647" s="10"/>
      <c r="L647" s="10"/>
      <c r="M647" s="11" t="str">
        <f aca="false">IF(COUNTA(J647:L647)&lt;3,"",IF(COUNTIF(J647:L647,"유지")=3,"채택","제외"))</f>
        <v/>
      </c>
      <c r="N647" s="12"/>
    </row>
    <row r="648" customFormat="false" ht="15" hidden="false" customHeight="false" outlineLevel="0" collapsed="false">
      <c r="A648" s="7" t="n">
        <v>647</v>
      </c>
      <c r="B648" s="7" t="s">
        <v>1025</v>
      </c>
      <c r="C648" s="7" t="s">
        <v>1859</v>
      </c>
      <c r="D648" s="7" t="s">
        <v>1883</v>
      </c>
      <c r="E648" s="8" t="s">
        <v>1874</v>
      </c>
      <c r="F648" s="9" t="s">
        <v>1875</v>
      </c>
      <c r="G648" s="8" t="s">
        <v>1875</v>
      </c>
      <c r="H648" s="13" t="s">
        <v>87</v>
      </c>
      <c r="I648" s="14"/>
      <c r="J648" s="10"/>
      <c r="K648" s="10"/>
      <c r="L648" s="10"/>
      <c r="M648" s="11" t="str">
        <f aca="false">IF(COUNTA(J648:L648)&lt;3,"",IF(COUNTIF(J648:L648,"유지")=3,"채택","제외"))</f>
        <v/>
      </c>
      <c r="N648" s="12"/>
    </row>
    <row r="649" customFormat="false" ht="15" hidden="false" customHeight="false" outlineLevel="0" collapsed="false">
      <c r="A649" s="7" t="n">
        <v>648</v>
      </c>
      <c r="B649" s="7" t="s">
        <v>1025</v>
      </c>
      <c r="C649" s="7" t="s">
        <v>1859</v>
      </c>
      <c r="D649" s="7" t="s">
        <v>1884</v>
      </c>
      <c r="E649" s="8" t="s">
        <v>1885</v>
      </c>
      <c r="F649" s="9" t="s">
        <v>1886</v>
      </c>
      <c r="G649" s="8" t="s">
        <v>1886</v>
      </c>
      <c r="H649" s="15"/>
      <c r="I649" s="15"/>
      <c r="J649" s="10"/>
      <c r="K649" s="10"/>
      <c r="L649" s="10"/>
      <c r="M649" s="11" t="str">
        <f aca="false">IF(COUNTA(J649:L649)&lt;3,"",IF(COUNTIF(J649:L649,"유지")=3,"채택","제외"))</f>
        <v/>
      </c>
      <c r="N649" s="12"/>
    </row>
    <row r="650" customFormat="false" ht="15" hidden="false" customHeight="false" outlineLevel="0" collapsed="false">
      <c r="A650" s="7" t="n">
        <v>649</v>
      </c>
      <c r="B650" s="7" t="s">
        <v>1025</v>
      </c>
      <c r="C650" s="7" t="s">
        <v>1859</v>
      </c>
      <c r="D650" s="7" t="s">
        <v>1887</v>
      </c>
      <c r="E650" s="8" t="s">
        <v>1888</v>
      </c>
      <c r="F650" s="9" t="s">
        <v>1889</v>
      </c>
      <c r="G650" s="8" t="s">
        <v>1889</v>
      </c>
      <c r="H650" s="15"/>
      <c r="I650" s="15"/>
      <c r="J650" s="10"/>
      <c r="K650" s="10"/>
      <c r="L650" s="10"/>
      <c r="M650" s="11" t="str">
        <f aca="false">IF(COUNTA(J650:L650)&lt;3,"",IF(COUNTIF(J650:L650,"유지")=3,"채택","제외"))</f>
        <v/>
      </c>
      <c r="N650" s="12"/>
    </row>
    <row r="651" customFormat="false" ht="15" hidden="false" customHeight="false" outlineLevel="0" collapsed="false">
      <c r="A651" s="7" t="n">
        <v>650</v>
      </c>
      <c r="B651" s="7" t="s">
        <v>1025</v>
      </c>
      <c r="C651" s="7" t="s">
        <v>1859</v>
      </c>
      <c r="D651" s="7" t="s">
        <v>1890</v>
      </c>
      <c r="E651" s="8" t="s">
        <v>1860</v>
      </c>
      <c r="F651" s="9" t="s">
        <v>1861</v>
      </c>
      <c r="G651" s="8" t="s">
        <v>1861</v>
      </c>
      <c r="H651" s="13" t="s">
        <v>87</v>
      </c>
      <c r="I651" s="14"/>
      <c r="J651" s="10"/>
      <c r="K651" s="10"/>
      <c r="L651" s="10"/>
      <c r="M651" s="11" t="str">
        <f aca="false">IF(COUNTA(J651:L651)&lt;3,"",IF(COUNTIF(J651:L651,"유지")=3,"채택","제외"))</f>
        <v/>
      </c>
      <c r="N651" s="12"/>
    </row>
    <row r="652" customFormat="false" ht="15" hidden="false" customHeight="false" outlineLevel="0" collapsed="false">
      <c r="A652" s="7" t="n">
        <v>651</v>
      </c>
      <c r="B652" s="7" t="s">
        <v>1025</v>
      </c>
      <c r="C652" s="7" t="s">
        <v>1859</v>
      </c>
      <c r="D652" s="7" t="s">
        <v>1891</v>
      </c>
      <c r="E652" s="8" t="s">
        <v>1874</v>
      </c>
      <c r="F652" s="9" t="s">
        <v>1875</v>
      </c>
      <c r="G652" s="8" t="s">
        <v>1875</v>
      </c>
      <c r="H652" s="13" t="s">
        <v>87</v>
      </c>
      <c r="I652" s="14"/>
      <c r="J652" s="10"/>
      <c r="K652" s="10"/>
      <c r="L652" s="10"/>
      <c r="M652" s="11" t="str">
        <f aca="false">IF(COUNTA(J652:L652)&lt;3,"",IF(COUNTIF(J652:L652,"유지")=3,"채택","제외"))</f>
        <v/>
      </c>
      <c r="N652" s="12"/>
    </row>
    <row r="653" customFormat="false" ht="15" hidden="false" customHeight="false" outlineLevel="0" collapsed="false">
      <c r="A653" s="7" t="n">
        <v>652</v>
      </c>
      <c r="B653" s="7" t="s">
        <v>1025</v>
      </c>
      <c r="C653" s="7" t="s">
        <v>1859</v>
      </c>
      <c r="D653" s="7" t="s">
        <v>1892</v>
      </c>
      <c r="E653" s="8" t="s">
        <v>1874</v>
      </c>
      <c r="F653" s="9" t="s">
        <v>1875</v>
      </c>
      <c r="G653" s="8" t="s">
        <v>1875</v>
      </c>
      <c r="H653" s="13" t="s">
        <v>87</v>
      </c>
      <c r="I653" s="14"/>
      <c r="J653" s="10"/>
      <c r="K653" s="10"/>
      <c r="L653" s="10"/>
      <c r="M653" s="11" t="str">
        <f aca="false">IF(COUNTA(J653:L653)&lt;3,"",IF(COUNTIF(J653:L653,"유지")=3,"채택","제외"))</f>
        <v/>
      </c>
      <c r="N653" s="12"/>
    </row>
    <row r="654" customFormat="false" ht="15" hidden="false" customHeight="false" outlineLevel="0" collapsed="false">
      <c r="A654" s="7" t="n">
        <v>653</v>
      </c>
      <c r="B654" s="7" t="s">
        <v>1025</v>
      </c>
      <c r="C654" s="7" t="s">
        <v>1859</v>
      </c>
      <c r="D654" s="7" t="s">
        <v>1893</v>
      </c>
      <c r="E654" s="8" t="s">
        <v>1874</v>
      </c>
      <c r="F654" s="9" t="s">
        <v>1875</v>
      </c>
      <c r="G654" s="8" t="s">
        <v>1875</v>
      </c>
      <c r="H654" s="13" t="s">
        <v>87</v>
      </c>
      <c r="I654" s="14"/>
      <c r="J654" s="10"/>
      <c r="K654" s="10"/>
      <c r="L654" s="10"/>
      <c r="M654" s="11" t="str">
        <f aca="false">IF(COUNTA(J654:L654)&lt;3,"",IF(COUNTIF(J654:L654,"유지")=3,"채택","제외"))</f>
        <v/>
      </c>
      <c r="N654" s="12"/>
    </row>
    <row r="655" customFormat="false" ht="15" hidden="false" customHeight="false" outlineLevel="0" collapsed="false">
      <c r="A655" s="7" t="n">
        <v>654</v>
      </c>
      <c r="B655" s="7" t="s">
        <v>1025</v>
      </c>
      <c r="C655" s="7" t="s">
        <v>1859</v>
      </c>
      <c r="D655" s="7" t="s">
        <v>1894</v>
      </c>
      <c r="E655" s="8" t="s">
        <v>1895</v>
      </c>
      <c r="F655" s="9" t="s">
        <v>1896</v>
      </c>
      <c r="G655" s="8" t="s">
        <v>1896</v>
      </c>
      <c r="H655" s="15"/>
      <c r="I655" s="15"/>
      <c r="J655" s="10"/>
      <c r="K655" s="10"/>
      <c r="L655" s="10"/>
      <c r="M655" s="11" t="str">
        <f aca="false">IF(COUNTA(J655:L655)&lt;3,"",IF(COUNTIF(J655:L655,"유지")=3,"채택","제외"))</f>
        <v/>
      </c>
      <c r="N655" s="12"/>
    </row>
    <row r="656" customFormat="false" ht="15" hidden="false" customHeight="false" outlineLevel="0" collapsed="false">
      <c r="A656" s="7" t="n">
        <v>655</v>
      </c>
      <c r="B656" s="7" t="s">
        <v>1025</v>
      </c>
      <c r="C656" s="7" t="s">
        <v>1859</v>
      </c>
      <c r="D656" s="7" t="s">
        <v>1897</v>
      </c>
      <c r="E656" s="8" t="s">
        <v>1898</v>
      </c>
      <c r="F656" s="9" t="s">
        <v>1899</v>
      </c>
      <c r="G656" s="8" t="s">
        <v>1900</v>
      </c>
      <c r="H656" s="15"/>
      <c r="I656" s="15"/>
      <c r="J656" s="10"/>
      <c r="K656" s="10"/>
      <c r="L656" s="10"/>
      <c r="M656" s="11" t="str">
        <f aca="false">IF(COUNTA(J656:L656)&lt;3,"",IF(COUNTIF(J656:L656,"유지")=3,"채택","제외"))</f>
        <v/>
      </c>
      <c r="N656" s="12"/>
    </row>
    <row r="657" customFormat="false" ht="29.85" hidden="false" customHeight="false" outlineLevel="0" collapsed="false">
      <c r="A657" s="7" t="n">
        <v>656</v>
      </c>
      <c r="B657" s="7" t="s">
        <v>1025</v>
      </c>
      <c r="C657" s="7" t="s">
        <v>1859</v>
      </c>
      <c r="D657" s="7" t="s">
        <v>1901</v>
      </c>
      <c r="E657" s="8" t="s">
        <v>1902</v>
      </c>
      <c r="F657" s="9" t="s">
        <v>1903</v>
      </c>
      <c r="G657" s="8" t="s">
        <v>1904</v>
      </c>
      <c r="H657" s="13" t="s">
        <v>74</v>
      </c>
      <c r="I657" s="14"/>
      <c r="J657" s="10"/>
      <c r="K657" s="10"/>
      <c r="L657" s="10"/>
      <c r="M657" s="11" t="str">
        <f aca="false">IF(COUNTA(J657:L657)&lt;3,"",IF(COUNTIF(J657:L657,"유지")=3,"채택","제외"))</f>
        <v/>
      </c>
      <c r="N657" s="12"/>
    </row>
    <row r="658" customFormat="false" ht="15" hidden="false" customHeight="false" outlineLevel="0" collapsed="false">
      <c r="A658" s="7" t="n">
        <v>657</v>
      </c>
      <c r="B658" s="7" t="s">
        <v>1025</v>
      </c>
      <c r="C658" s="7" t="s">
        <v>1859</v>
      </c>
      <c r="D658" s="7" t="s">
        <v>1905</v>
      </c>
      <c r="E658" s="8" t="s">
        <v>1906</v>
      </c>
      <c r="F658" s="9" t="s">
        <v>1907</v>
      </c>
      <c r="G658" s="8" t="s">
        <v>1907</v>
      </c>
      <c r="H658" s="15"/>
      <c r="I658" s="15"/>
      <c r="J658" s="10"/>
      <c r="K658" s="10"/>
      <c r="L658" s="10"/>
      <c r="M658" s="11" t="str">
        <f aca="false">IF(COUNTA(J658:L658)&lt;3,"",IF(COUNTIF(J658:L658,"유지")=3,"채택","제외"))</f>
        <v/>
      </c>
      <c r="N658" s="12"/>
    </row>
    <row r="659" customFormat="false" ht="15" hidden="false" customHeight="false" outlineLevel="0" collapsed="false">
      <c r="A659" s="7" t="n">
        <v>658</v>
      </c>
      <c r="B659" s="7" t="s">
        <v>1025</v>
      </c>
      <c r="C659" s="7" t="s">
        <v>1859</v>
      </c>
      <c r="D659" s="7" t="s">
        <v>1908</v>
      </c>
      <c r="E659" s="8" t="s">
        <v>1909</v>
      </c>
      <c r="F659" s="9" t="s">
        <v>1910</v>
      </c>
      <c r="G659" s="8" t="s">
        <v>1910</v>
      </c>
      <c r="H659" s="15"/>
      <c r="I659" s="15"/>
      <c r="J659" s="10"/>
      <c r="K659" s="10"/>
      <c r="L659" s="10"/>
      <c r="M659" s="11" t="str">
        <f aca="false">IF(COUNTA(J659:L659)&lt;3,"",IF(COUNTIF(J659:L659,"유지")=3,"채택","제외"))</f>
        <v/>
      </c>
      <c r="N659" s="12"/>
    </row>
    <row r="660" customFormat="false" ht="15" hidden="false" customHeight="false" outlineLevel="0" collapsed="false">
      <c r="A660" s="7" t="n">
        <v>659</v>
      </c>
      <c r="B660" s="7" t="s">
        <v>1025</v>
      </c>
      <c r="C660" s="7" t="s">
        <v>1859</v>
      </c>
      <c r="D660" s="7" t="s">
        <v>1911</v>
      </c>
      <c r="E660" s="8" t="s">
        <v>1912</v>
      </c>
      <c r="F660" s="9" t="s">
        <v>1913</v>
      </c>
      <c r="G660" s="8" t="s">
        <v>1914</v>
      </c>
      <c r="H660" s="15"/>
      <c r="I660" s="15"/>
      <c r="J660" s="10"/>
      <c r="K660" s="10"/>
      <c r="L660" s="10"/>
      <c r="M660" s="11" t="str">
        <f aca="false">IF(COUNTA(J660:L660)&lt;3,"",IF(COUNTIF(J660:L660,"유지")=3,"채택","제외"))</f>
        <v/>
      </c>
      <c r="N660" s="12"/>
    </row>
    <row r="661" customFormat="false" ht="15" hidden="false" customHeight="false" outlineLevel="0" collapsed="false">
      <c r="A661" s="7" t="n">
        <v>660</v>
      </c>
      <c r="B661" s="7" t="s">
        <v>1025</v>
      </c>
      <c r="C661" s="7" t="s">
        <v>1859</v>
      </c>
      <c r="D661" s="7" t="s">
        <v>1915</v>
      </c>
      <c r="E661" s="8" t="s">
        <v>1877</v>
      </c>
      <c r="F661" s="9" t="s">
        <v>1878</v>
      </c>
      <c r="G661" s="8" t="s">
        <v>1878</v>
      </c>
      <c r="H661" s="13" t="s">
        <v>87</v>
      </c>
      <c r="I661" s="14"/>
      <c r="J661" s="10"/>
      <c r="K661" s="10"/>
      <c r="L661" s="10"/>
      <c r="M661" s="11" t="str">
        <f aca="false">IF(COUNTA(J661:L661)&lt;3,"",IF(COUNTIF(J661:L661,"유지")=3,"채택","제외"))</f>
        <v/>
      </c>
      <c r="N661" s="12"/>
    </row>
    <row r="662" customFormat="false" ht="15" hidden="false" customHeight="false" outlineLevel="0" collapsed="false">
      <c r="A662" s="7" t="n">
        <v>661</v>
      </c>
      <c r="B662" s="7" t="s">
        <v>1025</v>
      </c>
      <c r="C662" s="7" t="s">
        <v>1859</v>
      </c>
      <c r="D662" s="7" t="s">
        <v>1916</v>
      </c>
      <c r="E662" s="8" t="s">
        <v>1803</v>
      </c>
      <c r="F662" s="9" t="s">
        <v>1804</v>
      </c>
      <c r="G662" s="8" t="s">
        <v>1804</v>
      </c>
      <c r="H662" s="13" t="s">
        <v>87</v>
      </c>
      <c r="I662" s="14"/>
      <c r="J662" s="10"/>
      <c r="K662" s="10"/>
      <c r="L662" s="10"/>
      <c r="M662" s="11" t="str">
        <f aca="false">IF(COUNTA(J662:L662)&lt;3,"",IF(COUNTIF(J662:L662,"유지")=3,"채택","제외"))</f>
        <v/>
      </c>
      <c r="N662" s="12"/>
    </row>
    <row r="663" customFormat="false" ht="15" hidden="false" customHeight="false" outlineLevel="0" collapsed="false">
      <c r="A663" s="7" t="n">
        <v>662</v>
      </c>
      <c r="B663" s="7" t="s">
        <v>1025</v>
      </c>
      <c r="C663" s="7" t="s">
        <v>1859</v>
      </c>
      <c r="D663" s="7" t="s">
        <v>1917</v>
      </c>
      <c r="E663" s="8" t="s">
        <v>1918</v>
      </c>
      <c r="F663" s="9" t="s">
        <v>1919</v>
      </c>
      <c r="G663" s="8" t="s">
        <v>1920</v>
      </c>
      <c r="H663" s="13" t="s">
        <v>1921</v>
      </c>
      <c r="I663" s="14"/>
      <c r="J663" s="10"/>
      <c r="K663" s="10"/>
      <c r="L663" s="10"/>
      <c r="M663" s="11" t="str">
        <f aca="false">IF(COUNTA(J663:L663)&lt;3,"",IF(COUNTIF(J663:L663,"유지")=3,"채택","제외"))</f>
        <v/>
      </c>
      <c r="N663" s="12"/>
    </row>
    <row r="664" customFormat="false" ht="15" hidden="false" customHeight="false" outlineLevel="0" collapsed="false">
      <c r="A664" s="7" t="n">
        <v>663</v>
      </c>
      <c r="B664" s="7" t="s">
        <v>1025</v>
      </c>
      <c r="C664" s="7" t="s">
        <v>1859</v>
      </c>
      <c r="D664" s="7" t="s">
        <v>1922</v>
      </c>
      <c r="E664" s="8" t="s">
        <v>1923</v>
      </c>
      <c r="F664" s="9" t="s">
        <v>1924</v>
      </c>
      <c r="G664" s="8" t="s">
        <v>1924</v>
      </c>
      <c r="H664" s="15"/>
      <c r="I664" s="15"/>
      <c r="J664" s="10"/>
      <c r="K664" s="10"/>
      <c r="L664" s="10"/>
      <c r="M664" s="11" t="str">
        <f aca="false">IF(COUNTA(J664:L664)&lt;3,"",IF(COUNTIF(J664:L664,"유지")=3,"채택","제외"))</f>
        <v/>
      </c>
      <c r="N664" s="12"/>
    </row>
    <row r="665" customFormat="false" ht="15" hidden="false" customHeight="false" outlineLevel="0" collapsed="false">
      <c r="A665" s="7" t="n">
        <v>664</v>
      </c>
      <c r="B665" s="7" t="s">
        <v>1025</v>
      </c>
      <c r="C665" s="7" t="s">
        <v>1859</v>
      </c>
      <c r="D665" s="7" t="s">
        <v>1925</v>
      </c>
      <c r="E665" s="8" t="s">
        <v>1926</v>
      </c>
      <c r="F665" s="9" t="s">
        <v>1927</v>
      </c>
      <c r="G665" s="8" t="s">
        <v>1928</v>
      </c>
      <c r="H665" s="15"/>
      <c r="I665" s="15"/>
      <c r="J665" s="10"/>
      <c r="K665" s="10"/>
      <c r="L665" s="10"/>
      <c r="M665" s="11" t="str">
        <f aca="false">IF(COUNTA(J665:L665)&lt;3,"",IF(COUNTIF(J665:L665,"유지")=3,"채택","제외"))</f>
        <v/>
      </c>
      <c r="N665" s="12"/>
    </row>
    <row r="666" customFormat="false" ht="15" hidden="false" customHeight="false" outlineLevel="0" collapsed="false">
      <c r="A666" s="7" t="n">
        <v>665</v>
      </c>
      <c r="B666" s="7" t="s">
        <v>1025</v>
      </c>
      <c r="C666" s="7" t="s">
        <v>1859</v>
      </c>
      <c r="D666" s="7" t="s">
        <v>1929</v>
      </c>
      <c r="E666" s="8" t="s">
        <v>1863</v>
      </c>
      <c r="F666" s="9" t="s">
        <v>1864</v>
      </c>
      <c r="G666" s="8" t="s">
        <v>1864</v>
      </c>
      <c r="H666" s="13" t="s">
        <v>87</v>
      </c>
      <c r="I666" s="14"/>
      <c r="J666" s="10"/>
      <c r="K666" s="10"/>
      <c r="L666" s="10"/>
      <c r="M666" s="11" t="str">
        <f aca="false">IF(COUNTA(J666:L666)&lt;3,"",IF(COUNTIF(J666:L666,"유지")=3,"채택","제외"))</f>
        <v/>
      </c>
      <c r="N666" s="12"/>
    </row>
    <row r="667" customFormat="false" ht="15" hidden="false" customHeight="false" outlineLevel="0" collapsed="false">
      <c r="A667" s="7" t="n">
        <v>666</v>
      </c>
      <c r="B667" s="7" t="s">
        <v>1025</v>
      </c>
      <c r="C667" s="7" t="s">
        <v>1859</v>
      </c>
      <c r="D667" s="7" t="s">
        <v>1930</v>
      </c>
      <c r="E667" s="8" t="s">
        <v>1931</v>
      </c>
      <c r="F667" s="9" t="s">
        <v>1932</v>
      </c>
      <c r="G667" s="8" t="s">
        <v>1933</v>
      </c>
      <c r="H667" s="15"/>
      <c r="I667" s="15"/>
      <c r="J667" s="10"/>
      <c r="K667" s="10"/>
      <c r="L667" s="10"/>
      <c r="M667" s="11" t="str">
        <f aca="false">IF(COUNTA(J667:L667)&lt;3,"",IF(COUNTIF(J667:L667,"유지")=3,"채택","제외"))</f>
        <v/>
      </c>
      <c r="N667" s="12"/>
    </row>
    <row r="668" customFormat="false" ht="15" hidden="false" customHeight="false" outlineLevel="0" collapsed="false">
      <c r="A668" s="7" t="n">
        <v>667</v>
      </c>
      <c r="B668" s="7" t="s">
        <v>1025</v>
      </c>
      <c r="C668" s="7" t="s">
        <v>1859</v>
      </c>
      <c r="D668" s="7" t="s">
        <v>1934</v>
      </c>
      <c r="E668" s="8" t="s">
        <v>1935</v>
      </c>
      <c r="F668" s="9" t="s">
        <v>1936</v>
      </c>
      <c r="G668" s="8" t="s">
        <v>1936</v>
      </c>
      <c r="H668" s="15"/>
      <c r="I668" s="15"/>
      <c r="J668" s="10"/>
      <c r="K668" s="10"/>
      <c r="L668" s="10"/>
      <c r="M668" s="11" t="str">
        <f aca="false">IF(COUNTA(J668:L668)&lt;3,"",IF(COUNTIF(J668:L668,"유지")=3,"채택","제외"))</f>
        <v/>
      </c>
      <c r="N668" s="12"/>
    </row>
    <row r="669" customFormat="false" ht="15" hidden="false" customHeight="false" outlineLevel="0" collapsed="false">
      <c r="A669" s="7" t="n">
        <v>668</v>
      </c>
      <c r="B669" s="7" t="s">
        <v>1025</v>
      </c>
      <c r="C669" s="7" t="s">
        <v>1859</v>
      </c>
      <c r="D669" s="7" t="s">
        <v>1937</v>
      </c>
      <c r="E669" s="8" t="s">
        <v>1938</v>
      </c>
      <c r="F669" s="9" t="s">
        <v>1939</v>
      </c>
      <c r="G669" s="8" t="s">
        <v>1939</v>
      </c>
      <c r="H669" s="13" t="s">
        <v>87</v>
      </c>
      <c r="I669" s="14"/>
      <c r="J669" s="10"/>
      <c r="K669" s="10"/>
      <c r="L669" s="10"/>
      <c r="M669" s="11" t="str">
        <f aca="false">IF(COUNTA(J669:L669)&lt;3,"",IF(COUNTIF(J669:L669,"유지")=3,"채택","제외"))</f>
        <v/>
      </c>
      <c r="N669" s="12"/>
    </row>
    <row r="670" customFormat="false" ht="15" hidden="false" customHeight="false" outlineLevel="0" collapsed="false">
      <c r="A670" s="7" t="n">
        <v>669</v>
      </c>
      <c r="B670" s="7" t="s">
        <v>1025</v>
      </c>
      <c r="C670" s="7" t="s">
        <v>1859</v>
      </c>
      <c r="D670" s="7" t="s">
        <v>1940</v>
      </c>
      <c r="E670" s="8" t="s">
        <v>1941</v>
      </c>
      <c r="F670" s="9" t="s">
        <v>1942</v>
      </c>
      <c r="G670" s="8" t="s">
        <v>1942</v>
      </c>
      <c r="H670" s="15"/>
      <c r="I670" s="15"/>
      <c r="J670" s="10"/>
      <c r="K670" s="10"/>
      <c r="L670" s="10"/>
      <c r="M670" s="11" t="str">
        <f aca="false">IF(COUNTA(J670:L670)&lt;3,"",IF(COUNTIF(J670:L670,"유지")=3,"채택","제외"))</f>
        <v/>
      </c>
      <c r="N670" s="12"/>
    </row>
    <row r="671" customFormat="false" ht="15" hidden="false" customHeight="false" outlineLevel="0" collapsed="false">
      <c r="A671" s="7" t="n">
        <v>670</v>
      </c>
      <c r="B671" s="7" t="s">
        <v>1025</v>
      </c>
      <c r="C671" s="7" t="s">
        <v>1859</v>
      </c>
      <c r="D671" s="7" t="s">
        <v>1943</v>
      </c>
      <c r="E671" s="8" t="s">
        <v>1944</v>
      </c>
      <c r="F671" s="9" t="s">
        <v>1945</v>
      </c>
      <c r="G671" s="8" t="s">
        <v>1861</v>
      </c>
      <c r="H671" s="13" t="s">
        <v>87</v>
      </c>
      <c r="I671" s="14"/>
      <c r="J671" s="10"/>
      <c r="K671" s="10"/>
      <c r="L671" s="10"/>
      <c r="M671" s="11" t="str">
        <f aca="false">IF(COUNTA(J671:L671)&lt;3,"",IF(COUNTIF(J671:L671,"유지")=3,"채택","제외"))</f>
        <v/>
      </c>
      <c r="N671" s="12"/>
    </row>
    <row r="672" customFormat="false" ht="15" hidden="false" customHeight="false" outlineLevel="0" collapsed="false">
      <c r="A672" s="7" t="n">
        <v>671</v>
      </c>
      <c r="B672" s="7" t="s">
        <v>1025</v>
      </c>
      <c r="C672" s="7" t="s">
        <v>1859</v>
      </c>
      <c r="D672" s="7" t="s">
        <v>1946</v>
      </c>
      <c r="E672" s="8" t="s">
        <v>1860</v>
      </c>
      <c r="F672" s="9" t="s">
        <v>1861</v>
      </c>
      <c r="G672" s="8" t="s">
        <v>1861</v>
      </c>
      <c r="H672" s="13" t="s">
        <v>87</v>
      </c>
      <c r="I672" s="14"/>
      <c r="J672" s="10"/>
      <c r="K672" s="10"/>
      <c r="L672" s="10"/>
      <c r="M672" s="11" t="str">
        <f aca="false">IF(COUNTA(J672:L672)&lt;3,"",IF(COUNTIF(J672:L672,"유지")=3,"채택","제외"))</f>
        <v/>
      </c>
      <c r="N672" s="12"/>
    </row>
    <row r="673" customFormat="false" ht="15" hidden="false" customHeight="false" outlineLevel="0" collapsed="false">
      <c r="A673" s="7" t="n">
        <v>672</v>
      </c>
      <c r="B673" s="7" t="s">
        <v>1025</v>
      </c>
      <c r="C673" s="7" t="s">
        <v>1859</v>
      </c>
      <c r="D673" s="7" t="s">
        <v>1947</v>
      </c>
      <c r="E673" s="8" t="s">
        <v>1630</v>
      </c>
      <c r="F673" s="9" t="s">
        <v>1631</v>
      </c>
      <c r="G673" s="8" t="s">
        <v>1632</v>
      </c>
      <c r="H673" s="13" t="s">
        <v>87</v>
      </c>
      <c r="I673" s="14"/>
      <c r="J673" s="10"/>
      <c r="K673" s="10"/>
      <c r="L673" s="10"/>
      <c r="M673" s="11" t="str">
        <f aca="false">IF(COUNTA(J673:L673)&lt;3,"",IF(COUNTIF(J673:L673,"유지")=3,"채택","제외"))</f>
        <v/>
      </c>
      <c r="N673" s="12"/>
    </row>
    <row r="674" customFormat="false" ht="15" hidden="false" customHeight="false" outlineLevel="0" collapsed="false">
      <c r="A674" s="7" t="n">
        <v>673</v>
      </c>
      <c r="B674" s="7" t="s">
        <v>1025</v>
      </c>
      <c r="C674" s="7" t="s">
        <v>1859</v>
      </c>
      <c r="D674" s="7" t="s">
        <v>1948</v>
      </c>
      <c r="E674" s="8" t="s">
        <v>1938</v>
      </c>
      <c r="F674" s="9" t="s">
        <v>1939</v>
      </c>
      <c r="G674" s="8" t="s">
        <v>1939</v>
      </c>
      <c r="H674" s="13" t="s">
        <v>87</v>
      </c>
      <c r="I674" s="14"/>
      <c r="J674" s="10"/>
      <c r="K674" s="10"/>
      <c r="L674" s="10"/>
      <c r="M674" s="11" t="str">
        <f aca="false">IF(COUNTA(J674:L674)&lt;3,"",IF(COUNTIF(J674:L674,"유지")=3,"채택","제외"))</f>
        <v/>
      </c>
      <c r="N674" s="12"/>
    </row>
    <row r="675" customFormat="false" ht="15" hidden="false" customHeight="false" outlineLevel="0" collapsed="false">
      <c r="A675" s="7" t="n">
        <v>674</v>
      </c>
      <c r="B675" s="7" t="s">
        <v>1025</v>
      </c>
      <c r="C675" s="7" t="s">
        <v>1859</v>
      </c>
      <c r="D675" s="7" t="s">
        <v>1949</v>
      </c>
      <c r="E675" s="8" t="s">
        <v>1950</v>
      </c>
      <c r="F675" s="9" t="s">
        <v>1951</v>
      </c>
      <c r="G675" s="8" t="s">
        <v>1951</v>
      </c>
      <c r="H675" s="13" t="s">
        <v>87</v>
      </c>
      <c r="I675" s="14"/>
      <c r="J675" s="10"/>
      <c r="K675" s="10"/>
      <c r="L675" s="10"/>
      <c r="M675" s="11" t="str">
        <f aca="false">IF(COUNTA(J675:L675)&lt;3,"",IF(COUNTIF(J675:L675,"유지")=3,"채택","제외"))</f>
        <v/>
      </c>
      <c r="N675" s="12"/>
    </row>
    <row r="676" customFormat="false" ht="15" hidden="false" customHeight="false" outlineLevel="0" collapsed="false">
      <c r="A676" s="7" t="n">
        <v>675</v>
      </c>
      <c r="B676" s="7" t="s">
        <v>1025</v>
      </c>
      <c r="C676" s="7" t="s">
        <v>1859</v>
      </c>
      <c r="D676" s="7" t="s">
        <v>1952</v>
      </c>
      <c r="E676" s="8" t="s">
        <v>1950</v>
      </c>
      <c r="F676" s="9" t="s">
        <v>1951</v>
      </c>
      <c r="G676" s="8" t="s">
        <v>1951</v>
      </c>
      <c r="H676" s="13" t="s">
        <v>87</v>
      </c>
      <c r="I676" s="14"/>
      <c r="J676" s="10"/>
      <c r="K676" s="10"/>
      <c r="L676" s="10"/>
      <c r="M676" s="11" t="str">
        <f aca="false">IF(COUNTA(J676:L676)&lt;3,"",IF(COUNTIF(J676:L676,"유지")=3,"채택","제외"))</f>
        <v/>
      </c>
      <c r="N676" s="12"/>
    </row>
    <row r="677" customFormat="false" ht="15" hidden="false" customHeight="false" outlineLevel="0" collapsed="false">
      <c r="A677" s="7" t="n">
        <v>676</v>
      </c>
      <c r="B677" s="7" t="s">
        <v>1025</v>
      </c>
      <c r="C677" s="7" t="s">
        <v>1859</v>
      </c>
      <c r="D677" s="7" t="s">
        <v>1953</v>
      </c>
      <c r="E677" s="8" t="s">
        <v>1954</v>
      </c>
      <c r="F677" s="9" t="s">
        <v>1955</v>
      </c>
      <c r="G677" s="8" t="s">
        <v>1956</v>
      </c>
      <c r="H677" s="15"/>
      <c r="I677" s="15"/>
      <c r="J677" s="10"/>
      <c r="K677" s="10"/>
      <c r="L677" s="10"/>
      <c r="M677" s="11" t="str">
        <f aca="false">IF(COUNTA(J677:L677)&lt;3,"",IF(COUNTIF(J677:L677,"유지")=3,"채택","제외"))</f>
        <v/>
      </c>
      <c r="N677" s="12"/>
    </row>
    <row r="678" customFormat="false" ht="15" hidden="false" customHeight="false" outlineLevel="0" collapsed="false">
      <c r="A678" s="7" t="n">
        <v>677</v>
      </c>
      <c r="B678" s="7" t="s">
        <v>1025</v>
      </c>
      <c r="C678" s="7" t="s">
        <v>1859</v>
      </c>
      <c r="D678" s="7" t="s">
        <v>1957</v>
      </c>
      <c r="E678" s="8" t="s">
        <v>1958</v>
      </c>
      <c r="F678" s="9" t="s">
        <v>1959</v>
      </c>
      <c r="G678" s="8" t="s">
        <v>1959</v>
      </c>
      <c r="H678" s="13" t="s">
        <v>74</v>
      </c>
      <c r="I678" s="14"/>
      <c r="J678" s="10"/>
      <c r="K678" s="10"/>
      <c r="L678" s="10"/>
      <c r="M678" s="11" t="str">
        <f aca="false">IF(COUNTA(J678:L678)&lt;3,"",IF(COUNTIF(J678:L678,"유지")=3,"채택","제외"))</f>
        <v/>
      </c>
      <c r="N678" s="12"/>
    </row>
    <row r="679" customFormat="false" ht="15" hidden="false" customHeight="false" outlineLevel="0" collapsed="false">
      <c r="A679" s="7" t="n">
        <v>678</v>
      </c>
      <c r="B679" s="7" t="s">
        <v>1025</v>
      </c>
      <c r="C679" s="7" t="s">
        <v>1859</v>
      </c>
      <c r="D679" s="7" t="s">
        <v>1960</v>
      </c>
      <c r="E679" s="8" t="s">
        <v>1869</v>
      </c>
      <c r="F679" s="9" t="s">
        <v>1870</v>
      </c>
      <c r="G679" s="8" t="s">
        <v>1871</v>
      </c>
      <c r="H679" s="13" t="s">
        <v>87</v>
      </c>
      <c r="I679" s="14"/>
      <c r="J679" s="10"/>
      <c r="K679" s="10"/>
      <c r="L679" s="10"/>
      <c r="M679" s="11" t="str">
        <f aca="false">IF(COUNTA(J679:L679)&lt;3,"",IF(COUNTIF(J679:L679,"유지")=3,"채택","제외"))</f>
        <v/>
      </c>
      <c r="N679" s="12"/>
    </row>
    <row r="680" customFormat="false" ht="15" hidden="false" customHeight="false" outlineLevel="0" collapsed="false">
      <c r="A680" s="7" t="n">
        <v>679</v>
      </c>
      <c r="B680" s="7" t="s">
        <v>1025</v>
      </c>
      <c r="C680" s="7" t="s">
        <v>1859</v>
      </c>
      <c r="D680" s="7" t="s">
        <v>1961</v>
      </c>
      <c r="E680" s="8" t="s">
        <v>1962</v>
      </c>
      <c r="F680" s="9" t="s">
        <v>1963</v>
      </c>
      <c r="G680" s="8" t="s">
        <v>1963</v>
      </c>
      <c r="H680" s="15"/>
      <c r="I680" s="15"/>
      <c r="J680" s="10"/>
      <c r="K680" s="10"/>
      <c r="L680" s="10"/>
      <c r="M680" s="11" t="str">
        <f aca="false">IF(COUNTA(J680:L680)&lt;3,"",IF(COUNTIF(J680:L680,"유지")=3,"채택","제외"))</f>
        <v/>
      </c>
      <c r="N680" s="12"/>
    </row>
    <row r="681" customFormat="false" ht="15" hidden="false" customHeight="false" outlineLevel="0" collapsed="false">
      <c r="A681" s="7" t="n">
        <v>680</v>
      </c>
      <c r="B681" s="7" t="s">
        <v>1025</v>
      </c>
      <c r="C681" s="7" t="s">
        <v>1859</v>
      </c>
      <c r="D681" s="7" t="s">
        <v>1964</v>
      </c>
      <c r="E681" s="8" t="s">
        <v>1965</v>
      </c>
      <c r="F681" s="9" t="s">
        <v>1966</v>
      </c>
      <c r="G681" s="8" t="s">
        <v>1966</v>
      </c>
      <c r="H681" s="15"/>
      <c r="I681" s="15"/>
      <c r="J681" s="10"/>
      <c r="K681" s="10"/>
      <c r="L681" s="10"/>
      <c r="M681" s="11" t="str">
        <f aca="false">IF(COUNTA(J681:L681)&lt;3,"",IF(COUNTIF(J681:L681,"유지")=3,"채택","제외"))</f>
        <v/>
      </c>
      <c r="N681" s="12"/>
    </row>
    <row r="682" customFormat="false" ht="15" hidden="false" customHeight="false" outlineLevel="0" collapsed="false">
      <c r="A682" s="7" t="n">
        <v>681</v>
      </c>
      <c r="B682" s="7" t="s">
        <v>1967</v>
      </c>
      <c r="C682" s="7" t="s">
        <v>1968</v>
      </c>
      <c r="D682" s="7" t="s">
        <v>1968</v>
      </c>
      <c r="E682" s="8" t="s">
        <v>1969</v>
      </c>
      <c r="F682" s="9" t="s">
        <v>1970</v>
      </c>
      <c r="G682" s="8" t="s">
        <v>1970</v>
      </c>
      <c r="H682" s="15"/>
      <c r="I682" s="15"/>
      <c r="J682" s="10"/>
      <c r="K682" s="10"/>
      <c r="L682" s="10"/>
      <c r="M682" s="11" t="str">
        <f aca="false">IF(COUNTA(J682:L682)&lt;3,"",IF(COUNTIF(J682:L682,"유지")=3,"채택","제외"))</f>
        <v/>
      </c>
      <c r="N682" s="12"/>
    </row>
    <row r="683" customFormat="false" ht="15" hidden="false" customHeight="false" outlineLevel="0" collapsed="false">
      <c r="A683" s="7" t="n">
        <v>682</v>
      </c>
      <c r="B683" s="7" t="s">
        <v>1967</v>
      </c>
      <c r="C683" s="7" t="s">
        <v>1968</v>
      </c>
      <c r="D683" s="7" t="s">
        <v>1971</v>
      </c>
      <c r="E683" s="8" t="s">
        <v>1972</v>
      </c>
      <c r="F683" s="9" t="s">
        <v>1973</v>
      </c>
      <c r="G683" s="8" t="s">
        <v>1974</v>
      </c>
      <c r="H683" s="13" t="s">
        <v>87</v>
      </c>
      <c r="I683" s="14"/>
      <c r="J683" s="10"/>
      <c r="K683" s="10"/>
      <c r="L683" s="10"/>
      <c r="M683" s="11" t="str">
        <f aca="false">IF(COUNTA(J683:L683)&lt;3,"",IF(COUNTIF(J683:L683,"유지")=3,"채택","제외"))</f>
        <v/>
      </c>
      <c r="N683" s="12"/>
    </row>
    <row r="684" customFormat="false" ht="15" hidden="false" customHeight="false" outlineLevel="0" collapsed="false">
      <c r="A684" s="7" t="n">
        <v>683</v>
      </c>
      <c r="B684" s="7" t="s">
        <v>1967</v>
      </c>
      <c r="C684" s="7" t="s">
        <v>1968</v>
      </c>
      <c r="D684" s="7" t="s">
        <v>1975</v>
      </c>
      <c r="E684" s="8" t="s">
        <v>1976</v>
      </c>
      <c r="F684" s="9" t="s">
        <v>1977</v>
      </c>
      <c r="G684" s="8" t="s">
        <v>1977</v>
      </c>
      <c r="H684" s="15"/>
      <c r="I684" s="15"/>
      <c r="J684" s="10"/>
      <c r="K684" s="10"/>
      <c r="L684" s="10"/>
      <c r="M684" s="11" t="str">
        <f aca="false">IF(COUNTA(J684:L684)&lt;3,"",IF(COUNTIF(J684:L684,"유지")=3,"채택","제외"))</f>
        <v/>
      </c>
      <c r="N684" s="12"/>
    </row>
    <row r="685" customFormat="false" ht="15" hidden="false" customHeight="false" outlineLevel="0" collapsed="false">
      <c r="A685" s="7" t="n">
        <v>684</v>
      </c>
      <c r="B685" s="7" t="s">
        <v>1967</v>
      </c>
      <c r="C685" s="7" t="s">
        <v>1968</v>
      </c>
      <c r="D685" s="7" t="s">
        <v>1978</v>
      </c>
      <c r="E685" s="8" t="s">
        <v>1979</v>
      </c>
      <c r="F685" s="9" t="s">
        <v>1980</v>
      </c>
      <c r="G685" s="8" t="s">
        <v>1980</v>
      </c>
      <c r="H685" s="13" t="s">
        <v>87</v>
      </c>
      <c r="I685" s="14"/>
      <c r="J685" s="10"/>
      <c r="K685" s="10"/>
      <c r="L685" s="10"/>
      <c r="M685" s="11" t="str">
        <f aca="false">IF(COUNTA(J685:L685)&lt;3,"",IF(COUNTIF(J685:L685,"유지")=3,"채택","제외"))</f>
        <v/>
      </c>
      <c r="N685" s="12"/>
    </row>
    <row r="686" customFormat="false" ht="15" hidden="false" customHeight="false" outlineLevel="0" collapsed="false">
      <c r="A686" s="7" t="n">
        <v>685</v>
      </c>
      <c r="B686" s="7" t="s">
        <v>1967</v>
      </c>
      <c r="C686" s="7" t="s">
        <v>1968</v>
      </c>
      <c r="D686" s="7" t="s">
        <v>1981</v>
      </c>
      <c r="E686" s="8" t="s">
        <v>1982</v>
      </c>
      <c r="F686" s="9" t="s">
        <v>1983</v>
      </c>
      <c r="G686" s="8" t="s">
        <v>1983</v>
      </c>
      <c r="H686" s="15"/>
      <c r="I686" s="15"/>
      <c r="J686" s="10"/>
      <c r="K686" s="10"/>
      <c r="L686" s="10"/>
      <c r="M686" s="11" t="str">
        <f aca="false">IF(COUNTA(J686:L686)&lt;3,"",IF(COUNTIF(J686:L686,"유지")=3,"채택","제외"))</f>
        <v/>
      </c>
      <c r="N686" s="12"/>
    </row>
    <row r="687" customFormat="false" ht="15" hidden="false" customHeight="false" outlineLevel="0" collapsed="false">
      <c r="A687" s="7" t="n">
        <v>686</v>
      </c>
      <c r="B687" s="7" t="s">
        <v>1967</v>
      </c>
      <c r="C687" s="7" t="s">
        <v>1968</v>
      </c>
      <c r="D687" s="7" t="s">
        <v>1984</v>
      </c>
      <c r="E687" s="8" t="s">
        <v>1985</v>
      </c>
      <c r="F687" s="9" t="s">
        <v>1986</v>
      </c>
      <c r="G687" s="8" t="s">
        <v>1986</v>
      </c>
      <c r="H687" s="15"/>
      <c r="I687" s="15"/>
      <c r="J687" s="10"/>
      <c r="K687" s="10"/>
      <c r="L687" s="10"/>
      <c r="M687" s="11" t="str">
        <f aca="false">IF(COUNTA(J687:L687)&lt;3,"",IF(COUNTIF(J687:L687,"유지")=3,"채택","제외"))</f>
        <v/>
      </c>
      <c r="N687" s="12"/>
    </row>
    <row r="688" customFormat="false" ht="15" hidden="false" customHeight="false" outlineLevel="0" collapsed="false">
      <c r="A688" s="7" t="n">
        <v>687</v>
      </c>
      <c r="B688" s="7" t="s">
        <v>1967</v>
      </c>
      <c r="C688" s="7" t="s">
        <v>1968</v>
      </c>
      <c r="D688" s="7" t="s">
        <v>1987</v>
      </c>
      <c r="E688" s="8" t="s">
        <v>1988</v>
      </c>
      <c r="F688" s="9" t="s">
        <v>1989</v>
      </c>
      <c r="G688" s="8" t="s">
        <v>1989</v>
      </c>
      <c r="H688" s="15"/>
      <c r="I688" s="15"/>
      <c r="J688" s="10"/>
      <c r="K688" s="10"/>
      <c r="L688" s="10"/>
      <c r="M688" s="11" t="str">
        <f aca="false">IF(COUNTA(J688:L688)&lt;3,"",IF(COUNTIF(J688:L688,"유지")=3,"채택","제외"))</f>
        <v/>
      </c>
      <c r="N688" s="12"/>
    </row>
    <row r="689" customFormat="false" ht="15" hidden="false" customHeight="false" outlineLevel="0" collapsed="false">
      <c r="A689" s="7" t="n">
        <v>688</v>
      </c>
      <c r="B689" s="7" t="s">
        <v>1967</v>
      </c>
      <c r="C689" s="7" t="s">
        <v>1968</v>
      </c>
      <c r="D689" s="7" t="s">
        <v>1990</v>
      </c>
      <c r="E689" s="8" t="s">
        <v>1991</v>
      </c>
      <c r="F689" s="9" t="s">
        <v>1992</v>
      </c>
      <c r="G689" s="8" t="s">
        <v>1992</v>
      </c>
      <c r="H689" s="15"/>
      <c r="I689" s="15"/>
      <c r="J689" s="10"/>
      <c r="K689" s="10"/>
      <c r="L689" s="10"/>
      <c r="M689" s="11" t="str">
        <f aca="false">IF(COUNTA(J689:L689)&lt;3,"",IF(COUNTIF(J689:L689,"유지")=3,"채택","제외"))</f>
        <v/>
      </c>
      <c r="N689" s="12"/>
    </row>
    <row r="690" customFormat="false" ht="15" hidden="false" customHeight="false" outlineLevel="0" collapsed="false">
      <c r="A690" s="7" t="n">
        <v>689</v>
      </c>
      <c r="B690" s="7" t="s">
        <v>1967</v>
      </c>
      <c r="C690" s="7" t="s">
        <v>1968</v>
      </c>
      <c r="D690" s="7" t="s">
        <v>1993</v>
      </c>
      <c r="E690" s="8" t="s">
        <v>1994</v>
      </c>
      <c r="F690" s="9" t="s">
        <v>1995</v>
      </c>
      <c r="G690" s="8" t="s">
        <v>1995</v>
      </c>
      <c r="H690" s="13" t="s">
        <v>87</v>
      </c>
      <c r="I690" s="14"/>
      <c r="J690" s="10"/>
      <c r="K690" s="10"/>
      <c r="L690" s="10"/>
      <c r="M690" s="11" t="str">
        <f aca="false">IF(COUNTA(J690:L690)&lt;3,"",IF(COUNTIF(J690:L690,"유지")=3,"채택","제외"))</f>
        <v/>
      </c>
      <c r="N690" s="12"/>
    </row>
    <row r="691" customFormat="false" ht="15" hidden="false" customHeight="false" outlineLevel="0" collapsed="false">
      <c r="A691" s="7" t="n">
        <v>690</v>
      </c>
      <c r="B691" s="7" t="s">
        <v>1967</v>
      </c>
      <c r="C691" s="7" t="s">
        <v>1968</v>
      </c>
      <c r="D691" s="7" t="s">
        <v>1996</v>
      </c>
      <c r="E691" s="8" t="s">
        <v>1997</v>
      </c>
      <c r="F691" s="9" t="s">
        <v>1998</v>
      </c>
      <c r="G691" s="8" t="s">
        <v>1998</v>
      </c>
      <c r="H691" s="15"/>
      <c r="I691" s="15"/>
      <c r="J691" s="10"/>
      <c r="K691" s="10"/>
      <c r="L691" s="10"/>
      <c r="M691" s="11" t="str">
        <f aca="false">IF(COUNTA(J691:L691)&lt;3,"",IF(COUNTIF(J691:L691,"유지")=3,"채택","제외"))</f>
        <v/>
      </c>
      <c r="N691" s="12"/>
    </row>
    <row r="692" customFormat="false" ht="15" hidden="false" customHeight="false" outlineLevel="0" collapsed="false">
      <c r="A692" s="7" t="n">
        <v>691</v>
      </c>
      <c r="B692" s="7" t="s">
        <v>1967</v>
      </c>
      <c r="C692" s="7" t="s">
        <v>1968</v>
      </c>
      <c r="D692" s="7" t="s">
        <v>1999</v>
      </c>
      <c r="E692" s="8" t="s">
        <v>2000</v>
      </c>
      <c r="F692" s="9" t="s">
        <v>2001</v>
      </c>
      <c r="G692" s="8" t="s">
        <v>2001</v>
      </c>
      <c r="H692" s="13" t="s">
        <v>87</v>
      </c>
      <c r="I692" s="14"/>
      <c r="J692" s="10"/>
      <c r="K692" s="10"/>
      <c r="L692" s="10"/>
      <c r="M692" s="11" t="str">
        <f aca="false">IF(COUNTA(J692:L692)&lt;3,"",IF(COUNTIF(J692:L692,"유지")=3,"채택","제외"))</f>
        <v/>
      </c>
      <c r="N692" s="12"/>
    </row>
    <row r="693" customFormat="false" ht="15" hidden="false" customHeight="false" outlineLevel="0" collapsed="false">
      <c r="A693" s="7" t="n">
        <v>692</v>
      </c>
      <c r="B693" s="7" t="s">
        <v>1967</v>
      </c>
      <c r="C693" s="7" t="s">
        <v>1968</v>
      </c>
      <c r="D693" s="7" t="s">
        <v>2002</v>
      </c>
      <c r="E693" s="8" t="s">
        <v>2003</v>
      </c>
      <c r="F693" s="9" t="s">
        <v>2004</v>
      </c>
      <c r="G693" s="8" t="s">
        <v>2004</v>
      </c>
      <c r="H693" s="13" t="s">
        <v>87</v>
      </c>
      <c r="I693" s="14"/>
      <c r="J693" s="10"/>
      <c r="K693" s="10"/>
      <c r="L693" s="10"/>
      <c r="M693" s="11" t="str">
        <f aca="false">IF(COUNTA(J693:L693)&lt;3,"",IF(COUNTIF(J693:L693,"유지")=3,"채택","제외"))</f>
        <v/>
      </c>
      <c r="N693" s="12"/>
    </row>
    <row r="694" customFormat="false" ht="15" hidden="false" customHeight="false" outlineLevel="0" collapsed="false">
      <c r="A694" s="7" t="n">
        <v>693</v>
      </c>
      <c r="B694" s="7" t="s">
        <v>1967</v>
      </c>
      <c r="C694" s="7" t="s">
        <v>1968</v>
      </c>
      <c r="D694" s="7" t="s">
        <v>2005</v>
      </c>
      <c r="E694" s="8" t="s">
        <v>2006</v>
      </c>
      <c r="F694" s="9" t="s">
        <v>2007</v>
      </c>
      <c r="G694" s="8" t="s">
        <v>2007</v>
      </c>
      <c r="H694" s="15"/>
      <c r="I694" s="15"/>
      <c r="J694" s="10"/>
      <c r="K694" s="10"/>
      <c r="L694" s="10"/>
      <c r="M694" s="11" t="str">
        <f aca="false">IF(COUNTA(J694:L694)&lt;3,"",IF(COUNTIF(J694:L694,"유지")=3,"채택","제외"))</f>
        <v/>
      </c>
      <c r="N694" s="12"/>
    </row>
    <row r="695" customFormat="false" ht="15" hidden="false" customHeight="false" outlineLevel="0" collapsed="false">
      <c r="A695" s="7" t="n">
        <v>694</v>
      </c>
      <c r="B695" s="7" t="s">
        <v>1967</v>
      </c>
      <c r="C695" s="7" t="s">
        <v>2008</v>
      </c>
      <c r="D695" s="7" t="s">
        <v>2008</v>
      </c>
      <c r="E695" s="8" t="s">
        <v>2009</v>
      </c>
      <c r="F695" s="9" t="s">
        <v>2010</v>
      </c>
      <c r="G695" s="8" t="s">
        <v>2010</v>
      </c>
      <c r="H695" s="15"/>
      <c r="I695" s="15"/>
      <c r="J695" s="10"/>
      <c r="K695" s="10"/>
      <c r="L695" s="10"/>
      <c r="M695" s="11" t="str">
        <f aca="false">IF(COUNTA(J695:L695)&lt;3,"",IF(COUNTIF(J695:L695,"유지")=3,"채택","제외"))</f>
        <v/>
      </c>
      <c r="N695" s="12"/>
    </row>
    <row r="696" customFormat="false" ht="15" hidden="false" customHeight="false" outlineLevel="0" collapsed="false">
      <c r="A696" s="7" t="n">
        <v>695</v>
      </c>
      <c r="B696" s="7" t="s">
        <v>1967</v>
      </c>
      <c r="C696" s="7" t="s">
        <v>2008</v>
      </c>
      <c r="D696" s="7" t="s">
        <v>2008</v>
      </c>
      <c r="E696" s="8" t="s">
        <v>2011</v>
      </c>
      <c r="F696" s="9" t="s">
        <v>2012</v>
      </c>
      <c r="G696" s="8" t="s">
        <v>2012</v>
      </c>
      <c r="H696" s="15"/>
      <c r="I696" s="15"/>
      <c r="J696" s="10"/>
      <c r="K696" s="10"/>
      <c r="L696" s="10"/>
      <c r="M696" s="11" t="str">
        <f aca="false">IF(COUNTA(J696:L696)&lt;3,"",IF(COUNTIF(J696:L696,"유지")=3,"채택","제외"))</f>
        <v/>
      </c>
      <c r="N696" s="12"/>
    </row>
    <row r="697" customFormat="false" ht="15" hidden="false" customHeight="false" outlineLevel="0" collapsed="false">
      <c r="A697" s="7" t="n">
        <v>696</v>
      </c>
      <c r="B697" s="7" t="s">
        <v>1967</v>
      </c>
      <c r="C697" s="7" t="s">
        <v>2008</v>
      </c>
      <c r="D697" s="7" t="s">
        <v>2013</v>
      </c>
      <c r="E697" s="8" t="s">
        <v>2014</v>
      </c>
      <c r="F697" s="9" t="s">
        <v>2015</v>
      </c>
      <c r="G697" s="8" t="s">
        <v>2015</v>
      </c>
      <c r="H697" s="15"/>
      <c r="I697" s="15"/>
      <c r="J697" s="10"/>
      <c r="K697" s="10"/>
      <c r="L697" s="10"/>
      <c r="M697" s="11" t="str">
        <f aca="false">IF(COUNTA(J697:L697)&lt;3,"",IF(COUNTIF(J697:L697,"유지")=3,"채택","제외"))</f>
        <v/>
      </c>
      <c r="N697" s="12"/>
    </row>
    <row r="698" customFormat="false" ht="15" hidden="false" customHeight="false" outlineLevel="0" collapsed="false">
      <c r="A698" s="7" t="n">
        <v>697</v>
      </c>
      <c r="B698" s="7" t="s">
        <v>1967</v>
      </c>
      <c r="C698" s="7" t="s">
        <v>2008</v>
      </c>
      <c r="D698" s="7" t="s">
        <v>2013</v>
      </c>
      <c r="E698" s="8" t="s">
        <v>2016</v>
      </c>
      <c r="F698" s="9" t="s">
        <v>2017</v>
      </c>
      <c r="G698" s="8" t="s">
        <v>2017</v>
      </c>
      <c r="H698" s="13" t="s">
        <v>87</v>
      </c>
      <c r="I698" s="14"/>
      <c r="J698" s="10"/>
      <c r="K698" s="10"/>
      <c r="L698" s="10"/>
      <c r="M698" s="11" t="str">
        <f aca="false">IF(COUNTA(J698:L698)&lt;3,"",IF(COUNTIF(J698:L698,"유지")=3,"채택","제외"))</f>
        <v/>
      </c>
      <c r="N698" s="12"/>
    </row>
    <row r="699" customFormat="false" ht="15" hidden="false" customHeight="false" outlineLevel="0" collapsed="false">
      <c r="A699" s="7" t="n">
        <v>698</v>
      </c>
      <c r="B699" s="7" t="s">
        <v>1967</v>
      </c>
      <c r="C699" s="7" t="s">
        <v>2008</v>
      </c>
      <c r="D699" s="7" t="s">
        <v>2018</v>
      </c>
      <c r="E699" s="8" t="s">
        <v>2016</v>
      </c>
      <c r="F699" s="9" t="s">
        <v>2017</v>
      </c>
      <c r="G699" s="8" t="s">
        <v>2017</v>
      </c>
      <c r="H699" s="13" t="s">
        <v>87</v>
      </c>
      <c r="I699" s="14"/>
      <c r="J699" s="10"/>
      <c r="K699" s="10"/>
      <c r="L699" s="10"/>
      <c r="M699" s="11" t="str">
        <f aca="false">IF(COUNTA(J699:L699)&lt;3,"",IF(COUNTIF(J699:L699,"유지")=3,"채택","제외"))</f>
        <v/>
      </c>
      <c r="N699" s="12"/>
    </row>
    <row r="700" customFormat="false" ht="15" hidden="false" customHeight="false" outlineLevel="0" collapsed="false">
      <c r="A700" s="7" t="n">
        <v>699</v>
      </c>
      <c r="B700" s="7" t="s">
        <v>1967</v>
      </c>
      <c r="C700" s="7" t="s">
        <v>2008</v>
      </c>
      <c r="D700" s="7" t="s">
        <v>2019</v>
      </c>
      <c r="E700" s="8" t="s">
        <v>2020</v>
      </c>
      <c r="F700" s="9" t="s">
        <v>2021</v>
      </c>
      <c r="G700" s="8" t="s">
        <v>2021</v>
      </c>
      <c r="H700" s="15"/>
      <c r="I700" s="15"/>
      <c r="J700" s="10"/>
      <c r="K700" s="10"/>
      <c r="L700" s="10"/>
      <c r="M700" s="11" t="str">
        <f aca="false">IF(COUNTA(J700:L700)&lt;3,"",IF(COUNTIF(J700:L700,"유지")=3,"채택","제외"))</f>
        <v/>
      </c>
      <c r="N700" s="12"/>
    </row>
    <row r="701" customFormat="false" ht="15" hidden="false" customHeight="false" outlineLevel="0" collapsed="false">
      <c r="A701" s="7" t="n">
        <v>700</v>
      </c>
      <c r="B701" s="7" t="s">
        <v>1967</v>
      </c>
      <c r="C701" s="7" t="s">
        <v>2008</v>
      </c>
      <c r="D701" s="7" t="s">
        <v>2019</v>
      </c>
      <c r="E701" s="8" t="s">
        <v>2022</v>
      </c>
      <c r="F701" s="9" t="s">
        <v>2023</v>
      </c>
      <c r="G701" s="8" t="s">
        <v>2023</v>
      </c>
      <c r="H701" s="15"/>
      <c r="I701" s="15"/>
      <c r="J701" s="10"/>
      <c r="K701" s="10"/>
      <c r="L701" s="10"/>
      <c r="M701" s="11" t="str">
        <f aca="false">IF(COUNTA(J701:L701)&lt;3,"",IF(COUNTIF(J701:L701,"유지")=3,"채택","제외"))</f>
        <v/>
      </c>
      <c r="N701" s="12"/>
    </row>
    <row r="702" customFormat="false" ht="15" hidden="false" customHeight="false" outlineLevel="0" collapsed="false">
      <c r="A702" s="7" t="n">
        <v>701</v>
      </c>
      <c r="B702" s="7" t="s">
        <v>1967</v>
      </c>
      <c r="C702" s="7" t="s">
        <v>2008</v>
      </c>
      <c r="D702" s="7" t="s">
        <v>2024</v>
      </c>
      <c r="E702" s="8" t="s">
        <v>2025</v>
      </c>
      <c r="F702" s="9" t="s">
        <v>2026</v>
      </c>
      <c r="G702" s="8" t="s">
        <v>2026</v>
      </c>
      <c r="H702" s="13" t="s">
        <v>74</v>
      </c>
      <c r="I702" s="14"/>
      <c r="J702" s="10"/>
      <c r="K702" s="10"/>
      <c r="L702" s="10"/>
      <c r="M702" s="11" t="str">
        <f aca="false">IF(COUNTA(J702:L702)&lt;3,"",IF(COUNTIF(J702:L702,"유지")=3,"채택","제외"))</f>
        <v/>
      </c>
      <c r="N702" s="12"/>
    </row>
    <row r="703" customFormat="false" ht="15" hidden="false" customHeight="false" outlineLevel="0" collapsed="false">
      <c r="A703" s="7" t="n">
        <v>702</v>
      </c>
      <c r="B703" s="7" t="s">
        <v>1967</v>
      </c>
      <c r="C703" s="7" t="s">
        <v>2008</v>
      </c>
      <c r="D703" s="7" t="s">
        <v>2027</v>
      </c>
      <c r="E703" s="8" t="s">
        <v>2028</v>
      </c>
      <c r="F703" s="9" t="s">
        <v>2029</v>
      </c>
      <c r="G703" s="8" t="s">
        <v>2029</v>
      </c>
      <c r="H703" s="15"/>
      <c r="I703" s="15"/>
      <c r="J703" s="10"/>
      <c r="K703" s="10"/>
      <c r="L703" s="10"/>
      <c r="M703" s="11" t="str">
        <f aca="false">IF(COUNTA(J703:L703)&lt;3,"",IF(COUNTIF(J703:L703,"유지")=3,"채택","제외"))</f>
        <v/>
      </c>
      <c r="N703" s="12"/>
    </row>
    <row r="704" customFormat="false" ht="15" hidden="false" customHeight="false" outlineLevel="0" collapsed="false">
      <c r="A704" s="7" t="n">
        <v>703</v>
      </c>
      <c r="B704" s="7" t="s">
        <v>1967</v>
      </c>
      <c r="C704" s="7" t="s">
        <v>2008</v>
      </c>
      <c r="D704" s="7" t="s">
        <v>2030</v>
      </c>
      <c r="E704" s="8" t="s">
        <v>2031</v>
      </c>
      <c r="F704" s="9" t="s">
        <v>2032</v>
      </c>
      <c r="G704" s="8" t="s">
        <v>2032</v>
      </c>
      <c r="H704" s="15"/>
      <c r="I704" s="15"/>
      <c r="J704" s="10"/>
      <c r="K704" s="10"/>
      <c r="L704" s="10"/>
      <c r="M704" s="11" t="str">
        <f aca="false">IF(COUNTA(J704:L704)&lt;3,"",IF(COUNTIF(J704:L704,"유지")=3,"채택","제외"))</f>
        <v/>
      </c>
      <c r="N704" s="12"/>
    </row>
    <row r="705" customFormat="false" ht="15" hidden="false" customHeight="false" outlineLevel="0" collapsed="false">
      <c r="A705" s="7" t="n">
        <v>704</v>
      </c>
      <c r="B705" s="7" t="s">
        <v>1967</v>
      </c>
      <c r="C705" s="7" t="s">
        <v>2008</v>
      </c>
      <c r="D705" s="7" t="s">
        <v>2030</v>
      </c>
      <c r="E705" s="8" t="s">
        <v>2033</v>
      </c>
      <c r="F705" s="9" t="s">
        <v>2034</v>
      </c>
      <c r="G705" s="8" t="s">
        <v>2034</v>
      </c>
      <c r="H705" s="15"/>
      <c r="I705" s="15"/>
      <c r="J705" s="10"/>
      <c r="K705" s="10"/>
      <c r="L705" s="10"/>
      <c r="M705" s="11" t="str">
        <f aca="false">IF(COUNTA(J705:L705)&lt;3,"",IF(COUNTIF(J705:L705,"유지")=3,"채택","제외"))</f>
        <v/>
      </c>
      <c r="N705" s="12"/>
    </row>
    <row r="706" customFormat="false" ht="15" hidden="false" customHeight="false" outlineLevel="0" collapsed="false">
      <c r="A706" s="7" t="n">
        <v>705</v>
      </c>
      <c r="B706" s="7" t="s">
        <v>1967</v>
      </c>
      <c r="C706" s="7" t="s">
        <v>2008</v>
      </c>
      <c r="D706" s="7" t="s">
        <v>2035</v>
      </c>
      <c r="E706" s="8" t="s">
        <v>2036</v>
      </c>
      <c r="F706" s="9" t="s">
        <v>2037</v>
      </c>
      <c r="G706" s="8" t="s">
        <v>2037</v>
      </c>
      <c r="H706" s="13" t="s">
        <v>87</v>
      </c>
      <c r="I706" s="14"/>
      <c r="J706" s="10"/>
      <c r="K706" s="10"/>
      <c r="L706" s="10"/>
      <c r="M706" s="11" t="str">
        <f aca="false">IF(COUNTA(J706:L706)&lt;3,"",IF(COUNTIF(J706:L706,"유지")=3,"채택","제외"))</f>
        <v/>
      </c>
      <c r="N706" s="12"/>
    </row>
    <row r="707" customFormat="false" ht="15" hidden="false" customHeight="false" outlineLevel="0" collapsed="false">
      <c r="A707" s="7" t="n">
        <v>706</v>
      </c>
      <c r="B707" s="7" t="s">
        <v>1967</v>
      </c>
      <c r="C707" s="7" t="s">
        <v>2008</v>
      </c>
      <c r="D707" s="7" t="s">
        <v>2038</v>
      </c>
      <c r="E707" s="8" t="s">
        <v>2039</v>
      </c>
      <c r="F707" s="9" t="s">
        <v>2040</v>
      </c>
      <c r="G707" s="8" t="s">
        <v>2040</v>
      </c>
      <c r="H707" s="15"/>
      <c r="I707" s="15"/>
      <c r="J707" s="10"/>
      <c r="K707" s="10"/>
      <c r="L707" s="10"/>
      <c r="M707" s="11" t="str">
        <f aca="false">IF(COUNTA(J707:L707)&lt;3,"",IF(COUNTIF(J707:L707,"유지")=3,"채택","제외"))</f>
        <v/>
      </c>
      <c r="N707" s="12"/>
    </row>
    <row r="708" customFormat="false" ht="15" hidden="false" customHeight="false" outlineLevel="0" collapsed="false">
      <c r="A708" s="7" t="n">
        <v>707</v>
      </c>
      <c r="B708" s="7" t="s">
        <v>1967</v>
      </c>
      <c r="C708" s="7" t="s">
        <v>2008</v>
      </c>
      <c r="D708" s="7" t="s">
        <v>2041</v>
      </c>
      <c r="E708" s="8" t="s">
        <v>2042</v>
      </c>
      <c r="F708" s="9" t="s">
        <v>2043</v>
      </c>
      <c r="G708" s="8" t="s">
        <v>2043</v>
      </c>
      <c r="H708" s="15"/>
      <c r="I708" s="15"/>
      <c r="J708" s="10"/>
      <c r="K708" s="10"/>
      <c r="L708" s="10"/>
      <c r="M708" s="11" t="str">
        <f aca="false">IF(COUNTA(J708:L708)&lt;3,"",IF(COUNTIF(J708:L708,"유지")=3,"채택","제외"))</f>
        <v/>
      </c>
      <c r="N708" s="12"/>
    </row>
    <row r="709" customFormat="false" ht="15" hidden="false" customHeight="false" outlineLevel="0" collapsed="false">
      <c r="A709" s="7" t="n">
        <v>708</v>
      </c>
      <c r="B709" s="7" t="s">
        <v>1967</v>
      </c>
      <c r="C709" s="7" t="s">
        <v>2008</v>
      </c>
      <c r="D709" s="7" t="s">
        <v>2044</v>
      </c>
      <c r="E709" s="8" t="s">
        <v>2045</v>
      </c>
      <c r="F709" s="9" t="s">
        <v>2046</v>
      </c>
      <c r="G709" s="8" t="s">
        <v>2046</v>
      </c>
      <c r="H709" s="15"/>
      <c r="I709" s="15"/>
      <c r="J709" s="10"/>
      <c r="K709" s="10"/>
      <c r="L709" s="10"/>
      <c r="M709" s="11" t="str">
        <f aca="false">IF(COUNTA(J709:L709)&lt;3,"",IF(COUNTIF(J709:L709,"유지")=3,"채택","제외"))</f>
        <v/>
      </c>
      <c r="N709" s="12"/>
    </row>
    <row r="710" customFormat="false" ht="15" hidden="false" customHeight="false" outlineLevel="0" collapsed="false">
      <c r="A710" s="7" t="n">
        <v>709</v>
      </c>
      <c r="B710" s="7" t="s">
        <v>1967</v>
      </c>
      <c r="C710" s="7" t="s">
        <v>2008</v>
      </c>
      <c r="D710" s="7" t="s">
        <v>2047</v>
      </c>
      <c r="E710" s="8" t="s">
        <v>2048</v>
      </c>
      <c r="F710" s="9" t="s">
        <v>2049</v>
      </c>
      <c r="G710" s="8" t="s">
        <v>2050</v>
      </c>
      <c r="H710" s="13" t="s">
        <v>87</v>
      </c>
      <c r="I710" s="14"/>
      <c r="J710" s="10"/>
      <c r="K710" s="10"/>
      <c r="L710" s="10"/>
      <c r="M710" s="11" t="str">
        <f aca="false">IF(COUNTA(J710:L710)&lt;3,"",IF(COUNTIF(J710:L710,"유지")=3,"채택","제외"))</f>
        <v/>
      </c>
      <c r="N710" s="12"/>
    </row>
    <row r="711" customFormat="false" ht="15" hidden="false" customHeight="false" outlineLevel="0" collapsed="false">
      <c r="A711" s="7" t="n">
        <v>710</v>
      </c>
      <c r="B711" s="7" t="s">
        <v>1967</v>
      </c>
      <c r="C711" s="7" t="s">
        <v>2008</v>
      </c>
      <c r="D711" s="7" t="s">
        <v>2051</v>
      </c>
      <c r="E711" s="8" t="s">
        <v>1243</v>
      </c>
      <c r="F711" s="9" t="s">
        <v>1244</v>
      </c>
      <c r="G711" s="8" t="s">
        <v>1244</v>
      </c>
      <c r="H711" s="13" t="s">
        <v>1204</v>
      </c>
      <c r="I711" s="14"/>
      <c r="J711" s="10"/>
      <c r="K711" s="10"/>
      <c r="L711" s="10"/>
      <c r="M711" s="11" t="str">
        <f aca="false">IF(COUNTA(J711:L711)&lt;3,"",IF(COUNTIF(J711:L711,"유지")=3,"채택","제외"))</f>
        <v/>
      </c>
      <c r="N711" s="12"/>
    </row>
    <row r="712" customFormat="false" ht="15" hidden="false" customHeight="false" outlineLevel="0" collapsed="false">
      <c r="A712" s="7" t="n">
        <v>711</v>
      </c>
      <c r="B712" s="7" t="s">
        <v>1967</v>
      </c>
      <c r="C712" s="7" t="s">
        <v>2008</v>
      </c>
      <c r="D712" s="7" t="s">
        <v>2052</v>
      </c>
      <c r="E712" s="8" t="s">
        <v>2053</v>
      </c>
      <c r="F712" s="9" t="s">
        <v>2054</v>
      </c>
      <c r="G712" s="8" t="s">
        <v>2054</v>
      </c>
      <c r="H712" s="15"/>
      <c r="I712" s="15"/>
      <c r="J712" s="10"/>
      <c r="K712" s="10"/>
      <c r="L712" s="10"/>
      <c r="M712" s="11" t="str">
        <f aca="false">IF(COUNTA(J712:L712)&lt;3,"",IF(COUNTIF(J712:L712,"유지")=3,"채택","제외"))</f>
        <v/>
      </c>
      <c r="N712" s="12"/>
    </row>
    <row r="713" customFormat="false" ht="15" hidden="false" customHeight="false" outlineLevel="0" collapsed="false">
      <c r="A713" s="7" t="n">
        <v>712</v>
      </c>
      <c r="B713" s="7" t="s">
        <v>1967</v>
      </c>
      <c r="C713" s="7" t="s">
        <v>2008</v>
      </c>
      <c r="D713" s="7" t="s">
        <v>2055</v>
      </c>
      <c r="E713" s="8" t="s">
        <v>2056</v>
      </c>
      <c r="F713" s="9" t="s">
        <v>2057</v>
      </c>
      <c r="G713" s="8" t="s">
        <v>2058</v>
      </c>
      <c r="H713" s="15"/>
      <c r="I713" s="15"/>
      <c r="J713" s="10"/>
      <c r="K713" s="10"/>
      <c r="L713" s="10"/>
      <c r="M713" s="11" t="str">
        <f aca="false">IF(COUNTA(J713:L713)&lt;3,"",IF(COUNTIF(J713:L713,"유지")=3,"채택","제외"))</f>
        <v/>
      </c>
      <c r="N713" s="12"/>
    </row>
    <row r="714" customFormat="false" ht="15" hidden="false" customHeight="false" outlineLevel="0" collapsed="false">
      <c r="A714" s="7" t="n">
        <v>713</v>
      </c>
      <c r="B714" s="7" t="s">
        <v>1967</v>
      </c>
      <c r="C714" s="7" t="s">
        <v>2008</v>
      </c>
      <c r="D714" s="7" t="s">
        <v>2059</v>
      </c>
      <c r="E714" s="8" t="s">
        <v>2060</v>
      </c>
      <c r="F714" s="9" t="s">
        <v>2061</v>
      </c>
      <c r="G714" s="8" t="s">
        <v>2061</v>
      </c>
      <c r="H714" s="15"/>
      <c r="I714" s="15"/>
      <c r="J714" s="10"/>
      <c r="K714" s="10"/>
      <c r="L714" s="10"/>
      <c r="M714" s="11" t="str">
        <f aca="false">IF(COUNTA(J714:L714)&lt;3,"",IF(COUNTIF(J714:L714,"유지")=3,"채택","제외"))</f>
        <v/>
      </c>
      <c r="N714" s="12"/>
    </row>
    <row r="715" customFormat="false" ht="15" hidden="false" customHeight="false" outlineLevel="0" collapsed="false">
      <c r="A715" s="7" t="n">
        <v>714</v>
      </c>
      <c r="B715" s="7" t="s">
        <v>1967</v>
      </c>
      <c r="C715" s="7" t="s">
        <v>2008</v>
      </c>
      <c r="D715" s="7" t="s">
        <v>2062</v>
      </c>
      <c r="E715" s="8" t="s">
        <v>2063</v>
      </c>
      <c r="F715" s="9" t="s">
        <v>2064</v>
      </c>
      <c r="G715" s="8" t="s">
        <v>2064</v>
      </c>
      <c r="H715" s="15"/>
      <c r="I715" s="15"/>
      <c r="J715" s="10"/>
      <c r="K715" s="10"/>
      <c r="L715" s="10"/>
      <c r="M715" s="11" t="str">
        <f aca="false">IF(COUNTA(J715:L715)&lt;3,"",IF(COUNTIF(J715:L715,"유지")=3,"채택","제외"))</f>
        <v/>
      </c>
      <c r="N715" s="12"/>
    </row>
    <row r="716" customFormat="false" ht="15" hidden="false" customHeight="false" outlineLevel="0" collapsed="false">
      <c r="A716" s="7" t="n">
        <v>715</v>
      </c>
      <c r="B716" s="7" t="s">
        <v>1967</v>
      </c>
      <c r="C716" s="7" t="s">
        <v>2008</v>
      </c>
      <c r="D716" s="7" t="s">
        <v>2062</v>
      </c>
      <c r="E716" s="8" t="s">
        <v>2065</v>
      </c>
      <c r="F716" s="9" t="s">
        <v>2066</v>
      </c>
      <c r="G716" s="8" t="s">
        <v>2066</v>
      </c>
      <c r="H716" s="15"/>
      <c r="I716" s="15"/>
      <c r="J716" s="10"/>
      <c r="K716" s="10"/>
      <c r="L716" s="10"/>
      <c r="M716" s="11" t="str">
        <f aca="false">IF(COUNTA(J716:L716)&lt;3,"",IF(COUNTIF(J716:L716,"유지")=3,"채택","제외"))</f>
        <v/>
      </c>
      <c r="N716" s="12"/>
    </row>
    <row r="717" customFormat="false" ht="15" hidden="false" customHeight="false" outlineLevel="0" collapsed="false">
      <c r="A717" s="7" t="n">
        <v>716</v>
      </c>
      <c r="B717" s="7" t="s">
        <v>1967</v>
      </c>
      <c r="C717" s="7" t="s">
        <v>2008</v>
      </c>
      <c r="D717" s="7" t="s">
        <v>2067</v>
      </c>
      <c r="E717" s="8" t="s">
        <v>2068</v>
      </c>
      <c r="F717" s="9" t="s">
        <v>2069</v>
      </c>
      <c r="G717" s="8" t="s">
        <v>2069</v>
      </c>
      <c r="H717" s="15"/>
      <c r="I717" s="15"/>
      <c r="J717" s="10"/>
      <c r="K717" s="10"/>
      <c r="L717" s="10"/>
      <c r="M717" s="11" t="str">
        <f aca="false">IF(COUNTA(J717:L717)&lt;3,"",IF(COUNTIF(J717:L717,"유지")=3,"채택","제외"))</f>
        <v/>
      </c>
      <c r="N717" s="12"/>
    </row>
    <row r="718" customFormat="false" ht="15" hidden="false" customHeight="false" outlineLevel="0" collapsed="false">
      <c r="A718" s="7" t="n">
        <v>717</v>
      </c>
      <c r="B718" s="7" t="s">
        <v>1967</v>
      </c>
      <c r="C718" s="7" t="s">
        <v>2008</v>
      </c>
      <c r="D718" s="7" t="s">
        <v>2070</v>
      </c>
      <c r="E718" s="8" t="s">
        <v>2071</v>
      </c>
      <c r="F718" s="9" t="s">
        <v>2072</v>
      </c>
      <c r="G718" s="8" t="s">
        <v>2072</v>
      </c>
      <c r="H718" s="15"/>
      <c r="I718" s="15"/>
      <c r="J718" s="10"/>
      <c r="K718" s="10"/>
      <c r="L718" s="10"/>
      <c r="M718" s="11" t="str">
        <f aca="false">IF(COUNTA(J718:L718)&lt;3,"",IF(COUNTIF(J718:L718,"유지")=3,"채택","제외"))</f>
        <v/>
      </c>
      <c r="N718" s="12"/>
    </row>
    <row r="719" customFormat="false" ht="15" hidden="false" customHeight="false" outlineLevel="0" collapsed="false">
      <c r="A719" s="7" t="n">
        <v>718</v>
      </c>
      <c r="B719" s="7" t="s">
        <v>1967</v>
      </c>
      <c r="C719" s="7" t="s">
        <v>2073</v>
      </c>
      <c r="D719" s="7" t="s">
        <v>2073</v>
      </c>
      <c r="E719" s="8" t="s">
        <v>2074</v>
      </c>
      <c r="F719" s="9" t="s">
        <v>2075</v>
      </c>
      <c r="G719" s="8" t="s">
        <v>2075</v>
      </c>
      <c r="H719" s="15"/>
      <c r="I719" s="15"/>
      <c r="J719" s="10"/>
      <c r="K719" s="10"/>
      <c r="L719" s="10"/>
      <c r="M719" s="11" t="str">
        <f aca="false">IF(COUNTA(J719:L719)&lt;3,"",IF(COUNTIF(J719:L719,"유지")=3,"채택","제외"))</f>
        <v/>
      </c>
      <c r="N719" s="12"/>
    </row>
    <row r="720" customFormat="false" ht="15" hidden="false" customHeight="false" outlineLevel="0" collapsed="false">
      <c r="A720" s="7" t="n">
        <v>719</v>
      </c>
      <c r="B720" s="7" t="s">
        <v>1967</v>
      </c>
      <c r="C720" s="7" t="s">
        <v>2073</v>
      </c>
      <c r="D720" s="7" t="s">
        <v>2076</v>
      </c>
      <c r="E720" s="8" t="s">
        <v>2077</v>
      </c>
      <c r="F720" s="9" t="s">
        <v>2078</v>
      </c>
      <c r="G720" s="8" t="s">
        <v>2078</v>
      </c>
      <c r="H720" s="15"/>
      <c r="I720" s="15"/>
      <c r="J720" s="10"/>
      <c r="K720" s="10"/>
      <c r="L720" s="10"/>
      <c r="M720" s="11" t="str">
        <f aca="false">IF(COUNTA(J720:L720)&lt;3,"",IF(COUNTIF(J720:L720,"유지")=3,"채택","제외"))</f>
        <v/>
      </c>
      <c r="N720" s="12"/>
    </row>
    <row r="721" customFormat="false" ht="15" hidden="false" customHeight="false" outlineLevel="0" collapsed="false">
      <c r="A721" s="7" t="n">
        <v>720</v>
      </c>
      <c r="B721" s="7" t="s">
        <v>1967</v>
      </c>
      <c r="C721" s="7" t="s">
        <v>2073</v>
      </c>
      <c r="D721" s="7" t="s">
        <v>2076</v>
      </c>
      <c r="E721" s="8" t="s">
        <v>2079</v>
      </c>
      <c r="F721" s="9" t="s">
        <v>2080</v>
      </c>
      <c r="G721" s="8" t="s">
        <v>2080</v>
      </c>
      <c r="H721" s="15"/>
      <c r="I721" s="15"/>
      <c r="J721" s="10"/>
      <c r="K721" s="10"/>
      <c r="L721" s="10"/>
      <c r="M721" s="11" t="str">
        <f aca="false">IF(COUNTA(J721:L721)&lt;3,"",IF(COUNTIF(J721:L721,"유지")=3,"채택","제외"))</f>
        <v/>
      </c>
      <c r="N721" s="12"/>
    </row>
    <row r="722" customFormat="false" ht="15" hidden="false" customHeight="false" outlineLevel="0" collapsed="false">
      <c r="A722" s="7" t="n">
        <v>721</v>
      </c>
      <c r="B722" s="7" t="s">
        <v>1967</v>
      </c>
      <c r="C722" s="7" t="s">
        <v>2073</v>
      </c>
      <c r="D722" s="7" t="s">
        <v>2081</v>
      </c>
      <c r="E722" s="8" t="s">
        <v>2082</v>
      </c>
      <c r="F722" s="9" t="s">
        <v>2083</v>
      </c>
      <c r="G722" s="8" t="s">
        <v>2083</v>
      </c>
      <c r="H722" s="15"/>
      <c r="I722" s="15"/>
      <c r="J722" s="10"/>
      <c r="K722" s="10"/>
      <c r="L722" s="10"/>
      <c r="M722" s="11" t="str">
        <f aca="false">IF(COUNTA(J722:L722)&lt;3,"",IF(COUNTIF(J722:L722,"유지")=3,"채택","제외"))</f>
        <v/>
      </c>
      <c r="N722" s="12"/>
    </row>
    <row r="723" customFormat="false" ht="26.85" hidden="false" customHeight="false" outlineLevel="0" collapsed="false">
      <c r="A723" s="7" t="n">
        <v>722</v>
      </c>
      <c r="B723" s="7" t="s">
        <v>1967</v>
      </c>
      <c r="C723" s="7" t="s">
        <v>2073</v>
      </c>
      <c r="D723" s="7" t="s">
        <v>2084</v>
      </c>
      <c r="E723" s="8" t="s">
        <v>43</v>
      </c>
      <c r="F723" s="9" t="s">
        <v>44</v>
      </c>
      <c r="G723" s="8" t="s">
        <v>44</v>
      </c>
      <c r="H723" s="13" t="s">
        <v>45</v>
      </c>
      <c r="I723" s="14" t="s">
        <v>46</v>
      </c>
      <c r="J723" s="10"/>
      <c r="K723" s="10"/>
      <c r="L723" s="10"/>
      <c r="M723" s="11" t="str">
        <f aca="false">IF(COUNTA(J723:L723)&lt;3,"",IF(COUNTIF(J723:L723,"유지")=3,"채택","제외"))</f>
        <v/>
      </c>
      <c r="N723" s="12"/>
    </row>
    <row r="724" customFormat="false" ht="15" hidden="false" customHeight="false" outlineLevel="0" collapsed="false">
      <c r="A724" s="7" t="n">
        <v>723</v>
      </c>
      <c r="B724" s="7" t="s">
        <v>1967</v>
      </c>
      <c r="C724" s="7" t="s">
        <v>2073</v>
      </c>
      <c r="D724" s="7" t="s">
        <v>2085</v>
      </c>
      <c r="E724" s="8" t="s">
        <v>2086</v>
      </c>
      <c r="F724" s="9" t="s">
        <v>2087</v>
      </c>
      <c r="G724" s="8" t="s">
        <v>2087</v>
      </c>
      <c r="H724" s="15"/>
      <c r="I724" s="15"/>
      <c r="J724" s="10"/>
      <c r="K724" s="10"/>
      <c r="L724" s="10"/>
      <c r="M724" s="11" t="str">
        <f aca="false">IF(COUNTA(J724:L724)&lt;3,"",IF(COUNTIF(J724:L724,"유지")=3,"채택","제외"))</f>
        <v/>
      </c>
      <c r="N724" s="12"/>
    </row>
    <row r="725" customFormat="false" ht="15" hidden="false" customHeight="false" outlineLevel="0" collapsed="false">
      <c r="A725" s="7" t="n">
        <v>724</v>
      </c>
      <c r="B725" s="7" t="s">
        <v>1967</v>
      </c>
      <c r="C725" s="7" t="s">
        <v>2073</v>
      </c>
      <c r="D725" s="7" t="s">
        <v>2088</v>
      </c>
      <c r="E725" s="8" t="s">
        <v>2089</v>
      </c>
      <c r="F725" s="9" t="s">
        <v>2090</v>
      </c>
      <c r="G725" s="8" t="s">
        <v>2090</v>
      </c>
      <c r="H725" s="15"/>
      <c r="I725" s="15"/>
      <c r="J725" s="10"/>
      <c r="K725" s="10"/>
      <c r="L725" s="10"/>
      <c r="M725" s="11" t="str">
        <f aca="false">IF(COUNTA(J725:L725)&lt;3,"",IF(COUNTIF(J725:L725,"유지")=3,"채택","제외"))</f>
        <v/>
      </c>
      <c r="N725" s="12"/>
    </row>
    <row r="726" customFormat="false" ht="15" hidden="false" customHeight="false" outlineLevel="0" collapsed="false">
      <c r="A726" s="7" t="n">
        <v>725</v>
      </c>
      <c r="B726" s="7" t="s">
        <v>1967</v>
      </c>
      <c r="C726" s="7" t="s">
        <v>2073</v>
      </c>
      <c r="D726" s="7" t="s">
        <v>2091</v>
      </c>
      <c r="E726" s="8" t="s">
        <v>2092</v>
      </c>
      <c r="F726" s="9" t="s">
        <v>2093</v>
      </c>
      <c r="G726" s="8" t="s">
        <v>2093</v>
      </c>
      <c r="H726" s="13" t="s">
        <v>87</v>
      </c>
      <c r="I726" s="14"/>
      <c r="J726" s="10"/>
      <c r="K726" s="10"/>
      <c r="L726" s="10"/>
      <c r="M726" s="11" t="str">
        <f aca="false">IF(COUNTA(J726:L726)&lt;3,"",IF(COUNTIF(J726:L726,"유지")=3,"채택","제외"))</f>
        <v/>
      </c>
      <c r="N726" s="12"/>
    </row>
    <row r="727" customFormat="false" ht="15" hidden="false" customHeight="false" outlineLevel="0" collapsed="false">
      <c r="A727" s="7" t="n">
        <v>726</v>
      </c>
      <c r="B727" s="7" t="s">
        <v>1967</v>
      </c>
      <c r="C727" s="7" t="s">
        <v>2073</v>
      </c>
      <c r="D727" s="7" t="s">
        <v>2094</v>
      </c>
      <c r="E727" s="8" t="s">
        <v>2095</v>
      </c>
      <c r="F727" s="9" t="s">
        <v>2096</v>
      </c>
      <c r="G727" s="8" t="s">
        <v>2096</v>
      </c>
      <c r="H727" s="15"/>
      <c r="I727" s="15"/>
      <c r="J727" s="10"/>
      <c r="K727" s="10"/>
      <c r="L727" s="10"/>
      <c r="M727" s="11" t="str">
        <f aca="false">IF(COUNTA(J727:L727)&lt;3,"",IF(COUNTIF(J727:L727,"유지")=3,"채택","제외"))</f>
        <v/>
      </c>
      <c r="N727" s="12"/>
    </row>
    <row r="728" customFormat="false" ht="15" hidden="false" customHeight="false" outlineLevel="0" collapsed="false">
      <c r="A728" s="7" t="n">
        <v>727</v>
      </c>
      <c r="B728" s="7" t="s">
        <v>1967</v>
      </c>
      <c r="C728" s="7" t="s">
        <v>2073</v>
      </c>
      <c r="D728" s="7" t="s">
        <v>2097</v>
      </c>
      <c r="E728" s="8" t="s">
        <v>2098</v>
      </c>
      <c r="F728" s="9" t="s">
        <v>2099</v>
      </c>
      <c r="G728" s="8" t="s">
        <v>2100</v>
      </c>
      <c r="H728" s="15"/>
      <c r="I728" s="15"/>
      <c r="J728" s="10"/>
      <c r="K728" s="10"/>
      <c r="L728" s="10"/>
      <c r="M728" s="11" t="str">
        <f aca="false">IF(COUNTA(J728:L728)&lt;3,"",IF(COUNTIF(J728:L728,"유지")=3,"채택","제외"))</f>
        <v/>
      </c>
      <c r="N728" s="12"/>
    </row>
    <row r="729" customFormat="false" ht="15" hidden="false" customHeight="false" outlineLevel="0" collapsed="false">
      <c r="A729" s="7" t="n">
        <v>728</v>
      </c>
      <c r="B729" s="7" t="s">
        <v>1967</v>
      </c>
      <c r="C729" s="7" t="s">
        <v>2073</v>
      </c>
      <c r="D729" s="7" t="s">
        <v>2101</v>
      </c>
      <c r="E729" s="8" t="s">
        <v>2102</v>
      </c>
      <c r="F729" s="9" t="s">
        <v>2103</v>
      </c>
      <c r="G729" s="8" t="s">
        <v>2103</v>
      </c>
      <c r="H729" s="15"/>
      <c r="I729" s="15"/>
      <c r="J729" s="10"/>
      <c r="K729" s="10"/>
      <c r="L729" s="10"/>
      <c r="M729" s="11" t="str">
        <f aca="false">IF(COUNTA(J729:L729)&lt;3,"",IF(COUNTIF(J729:L729,"유지")=3,"채택","제외"))</f>
        <v/>
      </c>
      <c r="N729" s="12"/>
    </row>
    <row r="730" customFormat="false" ht="15" hidden="false" customHeight="false" outlineLevel="0" collapsed="false">
      <c r="A730" s="7" t="n">
        <v>729</v>
      </c>
      <c r="B730" s="7" t="s">
        <v>1967</v>
      </c>
      <c r="C730" s="7" t="s">
        <v>2073</v>
      </c>
      <c r="D730" s="7" t="s">
        <v>2104</v>
      </c>
      <c r="E730" s="8" t="s">
        <v>2105</v>
      </c>
      <c r="F730" s="9" t="s">
        <v>2106</v>
      </c>
      <c r="G730" s="8" t="s">
        <v>2106</v>
      </c>
      <c r="H730" s="13" t="s">
        <v>87</v>
      </c>
      <c r="I730" s="14"/>
      <c r="J730" s="10"/>
      <c r="K730" s="10"/>
      <c r="L730" s="10"/>
      <c r="M730" s="11" t="str">
        <f aca="false">IF(COUNTA(J730:L730)&lt;3,"",IF(COUNTIF(J730:L730,"유지")=3,"채택","제외"))</f>
        <v/>
      </c>
      <c r="N730" s="12"/>
    </row>
    <row r="731" customFormat="false" ht="15" hidden="false" customHeight="false" outlineLevel="0" collapsed="false">
      <c r="A731" s="7" t="n">
        <v>730</v>
      </c>
      <c r="B731" s="7" t="s">
        <v>1967</v>
      </c>
      <c r="C731" s="7" t="s">
        <v>2073</v>
      </c>
      <c r="D731" s="7" t="s">
        <v>2107</v>
      </c>
      <c r="E731" s="8" t="s">
        <v>2108</v>
      </c>
      <c r="F731" s="9" t="s">
        <v>2109</v>
      </c>
      <c r="G731" s="8" t="s">
        <v>2109</v>
      </c>
      <c r="H731" s="15"/>
      <c r="I731" s="15"/>
      <c r="J731" s="10"/>
      <c r="K731" s="10"/>
      <c r="L731" s="10"/>
      <c r="M731" s="11" t="str">
        <f aca="false">IF(COUNTA(J731:L731)&lt;3,"",IF(COUNTIF(J731:L731,"유지")=3,"채택","제외"))</f>
        <v/>
      </c>
      <c r="N731" s="12"/>
    </row>
    <row r="732" customFormat="false" ht="15" hidden="false" customHeight="false" outlineLevel="0" collapsed="false">
      <c r="A732" s="7" t="n">
        <v>731</v>
      </c>
      <c r="B732" s="7" t="s">
        <v>1967</v>
      </c>
      <c r="C732" s="7" t="s">
        <v>2073</v>
      </c>
      <c r="D732" s="7" t="s">
        <v>2107</v>
      </c>
      <c r="E732" s="8" t="s">
        <v>2110</v>
      </c>
      <c r="F732" s="9" t="s">
        <v>2111</v>
      </c>
      <c r="G732" s="8" t="s">
        <v>2111</v>
      </c>
      <c r="H732" s="13" t="s">
        <v>87</v>
      </c>
      <c r="I732" s="14"/>
      <c r="J732" s="10"/>
      <c r="K732" s="10"/>
      <c r="L732" s="10"/>
      <c r="M732" s="11" t="str">
        <f aca="false">IF(COUNTA(J732:L732)&lt;3,"",IF(COUNTIF(J732:L732,"유지")=3,"채택","제외"))</f>
        <v/>
      </c>
      <c r="N732" s="12"/>
    </row>
    <row r="733" customFormat="false" ht="15" hidden="false" customHeight="false" outlineLevel="0" collapsed="false">
      <c r="A733" s="7" t="n">
        <v>732</v>
      </c>
      <c r="B733" s="7" t="s">
        <v>1967</v>
      </c>
      <c r="C733" s="7" t="s">
        <v>2073</v>
      </c>
      <c r="D733" s="7" t="s">
        <v>2112</v>
      </c>
      <c r="E733" s="8" t="s">
        <v>2113</v>
      </c>
      <c r="F733" s="9" t="s">
        <v>2114</v>
      </c>
      <c r="G733" s="8" t="s">
        <v>2114</v>
      </c>
      <c r="H733" s="15"/>
      <c r="I733" s="15"/>
      <c r="J733" s="10"/>
      <c r="K733" s="10"/>
      <c r="L733" s="10"/>
      <c r="M733" s="11" t="str">
        <f aca="false">IF(COUNTA(J733:L733)&lt;3,"",IF(COUNTIF(J733:L733,"유지")=3,"채택","제외"))</f>
        <v/>
      </c>
      <c r="N733" s="12"/>
    </row>
    <row r="734" customFormat="false" ht="15" hidden="false" customHeight="false" outlineLevel="0" collapsed="false">
      <c r="A734" s="7" t="n">
        <v>733</v>
      </c>
      <c r="B734" s="7" t="s">
        <v>1967</v>
      </c>
      <c r="C734" s="7" t="s">
        <v>2073</v>
      </c>
      <c r="D734" s="7" t="s">
        <v>2115</v>
      </c>
      <c r="E734" s="8" t="s">
        <v>2116</v>
      </c>
      <c r="F734" s="9" t="s">
        <v>2117</v>
      </c>
      <c r="G734" s="8" t="s">
        <v>2117</v>
      </c>
      <c r="H734" s="15"/>
      <c r="I734" s="15"/>
      <c r="J734" s="10"/>
      <c r="K734" s="10"/>
      <c r="L734" s="10"/>
      <c r="M734" s="11" t="str">
        <f aca="false">IF(COUNTA(J734:L734)&lt;3,"",IF(COUNTIF(J734:L734,"유지")=3,"채택","제외"))</f>
        <v/>
      </c>
      <c r="N734" s="12"/>
    </row>
    <row r="735" customFormat="false" ht="15" hidden="false" customHeight="false" outlineLevel="0" collapsed="false">
      <c r="A735" s="7" t="n">
        <v>734</v>
      </c>
      <c r="B735" s="7" t="s">
        <v>1967</v>
      </c>
      <c r="C735" s="7" t="s">
        <v>2073</v>
      </c>
      <c r="D735" s="7" t="s">
        <v>2118</v>
      </c>
      <c r="E735" s="8" t="s">
        <v>2110</v>
      </c>
      <c r="F735" s="9" t="s">
        <v>2111</v>
      </c>
      <c r="G735" s="8" t="s">
        <v>2111</v>
      </c>
      <c r="H735" s="13" t="s">
        <v>87</v>
      </c>
      <c r="I735" s="14"/>
      <c r="J735" s="10"/>
      <c r="K735" s="10"/>
      <c r="L735" s="10"/>
      <c r="M735" s="11" t="str">
        <f aca="false">IF(COUNTA(J735:L735)&lt;3,"",IF(COUNTIF(J735:L735,"유지")=3,"채택","제외"))</f>
        <v/>
      </c>
      <c r="N735" s="12"/>
    </row>
    <row r="736" customFormat="false" ht="15" hidden="false" customHeight="false" outlineLevel="0" collapsed="false">
      <c r="A736" s="7" t="n">
        <v>735</v>
      </c>
      <c r="B736" s="7" t="s">
        <v>1967</v>
      </c>
      <c r="C736" s="7" t="s">
        <v>2119</v>
      </c>
      <c r="D736" s="7" t="s">
        <v>2119</v>
      </c>
      <c r="E736" s="8" t="s">
        <v>2120</v>
      </c>
      <c r="F736" s="9" t="s">
        <v>2121</v>
      </c>
      <c r="G736" s="8" t="s">
        <v>2121</v>
      </c>
      <c r="H736" s="15"/>
      <c r="I736" s="15"/>
      <c r="J736" s="10"/>
      <c r="K736" s="10"/>
      <c r="L736" s="10"/>
      <c r="M736" s="11" t="str">
        <f aca="false">IF(COUNTA(J736:L736)&lt;3,"",IF(COUNTIF(J736:L736,"유지")=3,"채택","제외"))</f>
        <v/>
      </c>
      <c r="N736" s="12"/>
    </row>
    <row r="737" customFormat="false" ht="15" hidden="false" customHeight="false" outlineLevel="0" collapsed="false">
      <c r="A737" s="7" t="n">
        <v>736</v>
      </c>
      <c r="B737" s="7" t="s">
        <v>1967</v>
      </c>
      <c r="C737" s="7" t="s">
        <v>2119</v>
      </c>
      <c r="D737" s="7" t="s">
        <v>2119</v>
      </c>
      <c r="E737" s="8" t="s">
        <v>2122</v>
      </c>
      <c r="F737" s="9" t="s">
        <v>2123</v>
      </c>
      <c r="G737" s="8" t="s">
        <v>2123</v>
      </c>
      <c r="H737" s="13" t="s">
        <v>87</v>
      </c>
      <c r="I737" s="14"/>
      <c r="J737" s="10"/>
      <c r="K737" s="10"/>
      <c r="L737" s="10"/>
      <c r="M737" s="11" t="str">
        <f aca="false">IF(COUNTA(J737:L737)&lt;3,"",IF(COUNTIF(J737:L737,"유지")=3,"채택","제외"))</f>
        <v/>
      </c>
      <c r="N737" s="12"/>
    </row>
    <row r="738" customFormat="false" ht="15" hidden="false" customHeight="false" outlineLevel="0" collapsed="false">
      <c r="A738" s="7" t="n">
        <v>737</v>
      </c>
      <c r="B738" s="7" t="s">
        <v>1967</v>
      </c>
      <c r="C738" s="7" t="s">
        <v>2119</v>
      </c>
      <c r="D738" s="7" t="s">
        <v>2124</v>
      </c>
      <c r="E738" s="8" t="s">
        <v>2125</v>
      </c>
      <c r="F738" s="9" t="s">
        <v>2126</v>
      </c>
      <c r="G738" s="8" t="s">
        <v>2126</v>
      </c>
      <c r="H738" s="13" t="s">
        <v>87</v>
      </c>
      <c r="I738" s="14"/>
      <c r="J738" s="10"/>
      <c r="K738" s="10"/>
      <c r="L738" s="10"/>
      <c r="M738" s="11" t="str">
        <f aca="false">IF(COUNTA(J738:L738)&lt;3,"",IF(COUNTIF(J738:L738,"유지")=3,"채택","제외"))</f>
        <v/>
      </c>
      <c r="N738" s="12"/>
    </row>
    <row r="739" customFormat="false" ht="15" hidden="false" customHeight="false" outlineLevel="0" collapsed="false">
      <c r="A739" s="7" t="n">
        <v>738</v>
      </c>
      <c r="B739" s="7" t="s">
        <v>1967</v>
      </c>
      <c r="C739" s="7" t="s">
        <v>2119</v>
      </c>
      <c r="D739" s="7" t="s">
        <v>2127</v>
      </c>
      <c r="E739" s="8" t="s">
        <v>2128</v>
      </c>
      <c r="F739" s="9" t="s">
        <v>2129</v>
      </c>
      <c r="G739" s="8" t="s">
        <v>2129</v>
      </c>
      <c r="H739" s="15"/>
      <c r="I739" s="15"/>
      <c r="J739" s="10"/>
      <c r="K739" s="10"/>
      <c r="L739" s="10"/>
      <c r="M739" s="11" t="str">
        <f aca="false">IF(COUNTA(J739:L739)&lt;3,"",IF(COUNTIF(J739:L739,"유지")=3,"채택","제외"))</f>
        <v/>
      </c>
      <c r="N739" s="12"/>
    </row>
    <row r="740" customFormat="false" ht="15" hidden="false" customHeight="false" outlineLevel="0" collapsed="false">
      <c r="A740" s="7" t="n">
        <v>739</v>
      </c>
      <c r="B740" s="7" t="s">
        <v>1967</v>
      </c>
      <c r="C740" s="7" t="s">
        <v>2119</v>
      </c>
      <c r="D740" s="7" t="s">
        <v>2130</v>
      </c>
      <c r="E740" s="8" t="s">
        <v>2131</v>
      </c>
      <c r="F740" s="9" t="s">
        <v>2132</v>
      </c>
      <c r="G740" s="8" t="s">
        <v>2133</v>
      </c>
      <c r="H740" s="15"/>
      <c r="I740" s="15"/>
      <c r="J740" s="10"/>
      <c r="K740" s="10"/>
      <c r="L740" s="10"/>
      <c r="M740" s="11" t="str">
        <f aca="false">IF(COUNTA(J740:L740)&lt;3,"",IF(COUNTIF(J740:L740,"유지")=3,"채택","제외"))</f>
        <v/>
      </c>
      <c r="N740" s="12"/>
    </row>
    <row r="741" customFormat="false" ht="15" hidden="false" customHeight="false" outlineLevel="0" collapsed="false">
      <c r="A741" s="7" t="n">
        <v>740</v>
      </c>
      <c r="B741" s="7" t="s">
        <v>1967</v>
      </c>
      <c r="C741" s="7" t="s">
        <v>2119</v>
      </c>
      <c r="D741" s="7" t="s">
        <v>2134</v>
      </c>
      <c r="E741" s="8" t="s">
        <v>2122</v>
      </c>
      <c r="F741" s="9" t="s">
        <v>2123</v>
      </c>
      <c r="G741" s="8" t="s">
        <v>2123</v>
      </c>
      <c r="H741" s="13" t="s">
        <v>87</v>
      </c>
      <c r="I741" s="14"/>
      <c r="J741" s="10"/>
      <c r="K741" s="10"/>
      <c r="L741" s="10"/>
      <c r="M741" s="11" t="str">
        <f aca="false">IF(COUNTA(J741:L741)&lt;3,"",IF(COUNTIF(J741:L741,"유지")=3,"채택","제외"))</f>
        <v/>
      </c>
      <c r="N741" s="12"/>
    </row>
    <row r="742" customFormat="false" ht="29.85" hidden="false" customHeight="false" outlineLevel="0" collapsed="false">
      <c r="A742" s="7" t="n">
        <v>741</v>
      </c>
      <c r="B742" s="7" t="s">
        <v>1967</v>
      </c>
      <c r="C742" s="7" t="s">
        <v>2119</v>
      </c>
      <c r="D742" s="7" t="s">
        <v>2135</v>
      </c>
      <c r="E742" s="8" t="s">
        <v>2136</v>
      </c>
      <c r="F742" s="9" t="s">
        <v>2137</v>
      </c>
      <c r="G742" s="8" t="s">
        <v>2137</v>
      </c>
      <c r="H742" s="14"/>
      <c r="I742" s="14" t="s">
        <v>2138</v>
      </c>
      <c r="J742" s="10"/>
      <c r="K742" s="10"/>
      <c r="L742" s="10"/>
      <c r="M742" s="11" t="str">
        <f aca="false">IF(COUNTA(J742:L742)&lt;3,"",IF(COUNTIF(J742:L742,"유지")=3,"채택","제외"))</f>
        <v/>
      </c>
      <c r="N742" s="12"/>
    </row>
    <row r="743" customFormat="false" ht="15" hidden="false" customHeight="false" outlineLevel="0" collapsed="false">
      <c r="A743" s="7" t="n">
        <v>742</v>
      </c>
      <c r="B743" s="7" t="s">
        <v>1967</v>
      </c>
      <c r="C743" s="7" t="s">
        <v>2119</v>
      </c>
      <c r="D743" s="7" t="s">
        <v>2139</v>
      </c>
      <c r="E743" s="8" t="s">
        <v>2140</v>
      </c>
      <c r="F743" s="9" t="s">
        <v>2141</v>
      </c>
      <c r="G743" s="8" t="s">
        <v>2141</v>
      </c>
      <c r="H743" s="15"/>
      <c r="I743" s="15"/>
      <c r="J743" s="10"/>
      <c r="K743" s="10"/>
      <c r="L743" s="10"/>
      <c r="M743" s="11" t="str">
        <f aca="false">IF(COUNTA(J743:L743)&lt;3,"",IF(COUNTIF(J743:L743,"유지")=3,"채택","제외"))</f>
        <v/>
      </c>
      <c r="N743" s="12"/>
    </row>
    <row r="744" customFormat="false" ht="15" hidden="false" customHeight="false" outlineLevel="0" collapsed="false">
      <c r="A744" s="7" t="n">
        <v>743</v>
      </c>
      <c r="B744" s="7" t="s">
        <v>1967</v>
      </c>
      <c r="C744" s="7" t="s">
        <v>2119</v>
      </c>
      <c r="D744" s="7" t="s">
        <v>2142</v>
      </c>
      <c r="E744" s="8" t="s">
        <v>2105</v>
      </c>
      <c r="F744" s="9" t="s">
        <v>2106</v>
      </c>
      <c r="G744" s="8" t="s">
        <v>2106</v>
      </c>
      <c r="H744" s="13" t="s">
        <v>87</v>
      </c>
      <c r="I744" s="14"/>
      <c r="J744" s="10"/>
      <c r="K744" s="10"/>
      <c r="L744" s="10"/>
      <c r="M744" s="11" t="str">
        <f aca="false">IF(COUNTA(J744:L744)&lt;3,"",IF(COUNTIF(J744:L744,"유지")=3,"채택","제외"))</f>
        <v/>
      </c>
      <c r="N744" s="12"/>
    </row>
    <row r="745" customFormat="false" ht="15" hidden="false" customHeight="false" outlineLevel="0" collapsed="false">
      <c r="A745" s="7" t="n">
        <v>744</v>
      </c>
      <c r="B745" s="7" t="s">
        <v>1967</v>
      </c>
      <c r="C745" s="7" t="s">
        <v>2119</v>
      </c>
      <c r="D745" s="7" t="s">
        <v>2143</v>
      </c>
      <c r="E745" s="8" t="s">
        <v>2144</v>
      </c>
      <c r="F745" s="9" t="s">
        <v>2145</v>
      </c>
      <c r="G745" s="8" t="s">
        <v>2145</v>
      </c>
      <c r="H745" s="15"/>
      <c r="I745" s="15"/>
      <c r="J745" s="10"/>
      <c r="K745" s="10"/>
      <c r="L745" s="10"/>
      <c r="M745" s="11" t="str">
        <f aca="false">IF(COUNTA(J745:L745)&lt;3,"",IF(COUNTIF(J745:L745,"유지")=3,"채택","제외"))</f>
        <v/>
      </c>
      <c r="N745" s="12"/>
    </row>
    <row r="746" customFormat="false" ht="15" hidden="false" customHeight="false" outlineLevel="0" collapsed="false">
      <c r="A746" s="7" t="n">
        <v>745</v>
      </c>
      <c r="B746" s="7" t="s">
        <v>1967</v>
      </c>
      <c r="C746" s="7" t="s">
        <v>2119</v>
      </c>
      <c r="D746" s="7" t="s">
        <v>2146</v>
      </c>
      <c r="E746" s="8" t="s">
        <v>2147</v>
      </c>
      <c r="F746" s="9" t="s">
        <v>2148</v>
      </c>
      <c r="G746" s="8" t="s">
        <v>2148</v>
      </c>
      <c r="H746" s="15"/>
      <c r="I746" s="15"/>
      <c r="J746" s="10"/>
      <c r="K746" s="10"/>
      <c r="L746" s="10"/>
      <c r="M746" s="11" t="str">
        <f aca="false">IF(COUNTA(J746:L746)&lt;3,"",IF(COUNTIF(J746:L746,"유지")=3,"채택","제외"))</f>
        <v/>
      </c>
      <c r="N746" s="12"/>
    </row>
    <row r="747" customFormat="false" ht="15" hidden="false" customHeight="false" outlineLevel="0" collapsed="false">
      <c r="A747" s="7" t="n">
        <v>746</v>
      </c>
      <c r="B747" s="7" t="s">
        <v>1967</v>
      </c>
      <c r="C747" s="7" t="s">
        <v>2119</v>
      </c>
      <c r="D747" s="7" t="s">
        <v>2149</v>
      </c>
      <c r="E747" s="8" t="s">
        <v>2150</v>
      </c>
      <c r="F747" s="9" t="s">
        <v>2151</v>
      </c>
      <c r="G747" s="8" t="s">
        <v>2151</v>
      </c>
      <c r="H747" s="15"/>
      <c r="I747" s="15"/>
      <c r="J747" s="10"/>
      <c r="K747" s="10"/>
      <c r="L747" s="10"/>
      <c r="M747" s="11" t="str">
        <f aca="false">IF(COUNTA(J747:L747)&lt;3,"",IF(COUNTIF(J747:L747,"유지")=3,"채택","제외"))</f>
        <v/>
      </c>
      <c r="N747" s="12"/>
    </row>
    <row r="748" customFormat="false" ht="15" hidden="false" customHeight="false" outlineLevel="0" collapsed="false">
      <c r="A748" s="7" t="n">
        <v>747</v>
      </c>
      <c r="B748" s="7" t="s">
        <v>1967</v>
      </c>
      <c r="C748" s="7" t="s">
        <v>2119</v>
      </c>
      <c r="D748" s="7" t="s">
        <v>2152</v>
      </c>
      <c r="E748" s="8" t="s">
        <v>2153</v>
      </c>
      <c r="F748" s="9" t="s">
        <v>2154</v>
      </c>
      <c r="G748" s="8" t="s">
        <v>2154</v>
      </c>
      <c r="H748" s="15"/>
      <c r="I748" s="15"/>
      <c r="J748" s="10"/>
      <c r="K748" s="10"/>
      <c r="L748" s="10"/>
      <c r="M748" s="11" t="str">
        <f aca="false">IF(COUNTA(J748:L748)&lt;3,"",IF(COUNTIF(J748:L748,"유지")=3,"채택","제외"))</f>
        <v/>
      </c>
      <c r="N748" s="12"/>
    </row>
    <row r="749" customFormat="false" ht="15" hidden="false" customHeight="false" outlineLevel="0" collapsed="false">
      <c r="A749" s="7" t="n">
        <v>748</v>
      </c>
      <c r="B749" s="7" t="s">
        <v>1967</v>
      </c>
      <c r="C749" s="7" t="s">
        <v>2119</v>
      </c>
      <c r="D749" s="7" t="s">
        <v>2155</v>
      </c>
      <c r="E749" s="8" t="s">
        <v>2156</v>
      </c>
      <c r="F749" s="9" t="s">
        <v>2157</v>
      </c>
      <c r="G749" s="8" t="s">
        <v>2157</v>
      </c>
      <c r="H749" s="15"/>
      <c r="I749" s="15"/>
      <c r="J749" s="10"/>
      <c r="K749" s="10"/>
      <c r="L749" s="10"/>
      <c r="M749" s="11" t="str">
        <f aca="false">IF(COUNTA(J749:L749)&lt;3,"",IF(COUNTIF(J749:L749,"유지")=3,"채택","제외"))</f>
        <v/>
      </c>
      <c r="N749" s="12"/>
    </row>
    <row r="750" customFormat="false" ht="15" hidden="false" customHeight="false" outlineLevel="0" collapsed="false">
      <c r="A750" s="7" t="n">
        <v>749</v>
      </c>
      <c r="B750" s="7" t="s">
        <v>1967</v>
      </c>
      <c r="C750" s="7" t="s">
        <v>2119</v>
      </c>
      <c r="D750" s="7" t="s">
        <v>2158</v>
      </c>
      <c r="E750" s="8" t="s">
        <v>2159</v>
      </c>
      <c r="F750" s="9" t="s">
        <v>2160</v>
      </c>
      <c r="G750" s="8" t="s">
        <v>2160</v>
      </c>
      <c r="H750" s="15"/>
      <c r="I750" s="15"/>
      <c r="J750" s="10"/>
      <c r="K750" s="10"/>
      <c r="L750" s="10"/>
      <c r="M750" s="11" t="str">
        <f aca="false">IF(COUNTA(J750:L750)&lt;3,"",IF(COUNTIF(J750:L750,"유지")=3,"채택","제외"))</f>
        <v/>
      </c>
      <c r="N750" s="12"/>
    </row>
    <row r="751" customFormat="false" ht="15" hidden="false" customHeight="false" outlineLevel="0" collapsed="false">
      <c r="A751" s="7" t="n">
        <v>750</v>
      </c>
      <c r="B751" s="7" t="s">
        <v>1967</v>
      </c>
      <c r="C751" s="7" t="s">
        <v>2119</v>
      </c>
      <c r="D751" s="7" t="s">
        <v>2161</v>
      </c>
      <c r="E751" s="8" t="s">
        <v>2162</v>
      </c>
      <c r="F751" s="9" t="s">
        <v>2163</v>
      </c>
      <c r="G751" s="8" t="s">
        <v>2163</v>
      </c>
      <c r="H751" s="13" t="s">
        <v>87</v>
      </c>
      <c r="I751" s="14"/>
      <c r="J751" s="10"/>
      <c r="K751" s="10"/>
      <c r="L751" s="10"/>
      <c r="M751" s="11" t="str">
        <f aca="false">IF(COUNTA(J751:L751)&lt;3,"",IF(COUNTIF(J751:L751,"유지")=3,"채택","제외"))</f>
        <v/>
      </c>
      <c r="N751" s="12"/>
    </row>
    <row r="752" customFormat="false" ht="15" hidden="false" customHeight="false" outlineLevel="0" collapsed="false">
      <c r="A752" s="7" t="n">
        <v>751</v>
      </c>
      <c r="B752" s="7" t="s">
        <v>1967</v>
      </c>
      <c r="C752" s="7" t="s">
        <v>2119</v>
      </c>
      <c r="D752" s="7" t="s">
        <v>2164</v>
      </c>
      <c r="E752" s="8" t="s">
        <v>2165</v>
      </c>
      <c r="F752" s="9" t="s">
        <v>2166</v>
      </c>
      <c r="G752" s="8" t="s">
        <v>2166</v>
      </c>
      <c r="H752" s="13" t="s">
        <v>87</v>
      </c>
      <c r="I752" s="14"/>
      <c r="J752" s="10"/>
      <c r="K752" s="10"/>
      <c r="L752" s="10"/>
      <c r="M752" s="11" t="str">
        <f aca="false">IF(COUNTA(J752:L752)&lt;3,"",IF(COUNTIF(J752:L752,"유지")=3,"채택","제외"))</f>
        <v/>
      </c>
      <c r="N752" s="12"/>
    </row>
    <row r="753" customFormat="false" ht="15" hidden="false" customHeight="false" outlineLevel="0" collapsed="false">
      <c r="A753" s="7" t="n">
        <v>752</v>
      </c>
      <c r="B753" s="7" t="s">
        <v>1967</v>
      </c>
      <c r="C753" s="7" t="s">
        <v>2119</v>
      </c>
      <c r="D753" s="7" t="s">
        <v>2167</v>
      </c>
      <c r="E753" s="8" t="s">
        <v>2168</v>
      </c>
      <c r="F753" s="9" t="s">
        <v>2169</v>
      </c>
      <c r="G753" s="8" t="s">
        <v>2169</v>
      </c>
      <c r="H753" s="15"/>
      <c r="I753" s="15"/>
      <c r="J753" s="10"/>
      <c r="K753" s="10"/>
      <c r="L753" s="10"/>
      <c r="M753" s="11" t="str">
        <f aca="false">IF(COUNTA(J753:L753)&lt;3,"",IF(COUNTIF(J753:L753,"유지")=3,"채택","제외"))</f>
        <v/>
      </c>
      <c r="N753" s="12"/>
    </row>
    <row r="754" customFormat="false" ht="15" hidden="false" customHeight="false" outlineLevel="0" collapsed="false">
      <c r="A754" s="7" t="n">
        <v>753</v>
      </c>
      <c r="B754" s="7" t="s">
        <v>1967</v>
      </c>
      <c r="C754" s="7" t="s">
        <v>2119</v>
      </c>
      <c r="D754" s="7" t="s">
        <v>2170</v>
      </c>
      <c r="E754" s="8" t="s">
        <v>2171</v>
      </c>
      <c r="F754" s="9" t="s">
        <v>2172</v>
      </c>
      <c r="G754" s="8" t="s">
        <v>2172</v>
      </c>
      <c r="H754" s="15"/>
      <c r="I754" s="15"/>
      <c r="J754" s="10"/>
      <c r="K754" s="10"/>
      <c r="L754" s="10"/>
      <c r="M754" s="11" t="str">
        <f aca="false">IF(COUNTA(J754:L754)&lt;3,"",IF(COUNTIF(J754:L754,"유지")=3,"채택","제외"))</f>
        <v/>
      </c>
      <c r="N754" s="12"/>
    </row>
    <row r="755" customFormat="false" ht="15" hidden="false" customHeight="false" outlineLevel="0" collapsed="false">
      <c r="A755" s="7" t="n">
        <v>754</v>
      </c>
      <c r="B755" s="7" t="s">
        <v>1967</v>
      </c>
      <c r="C755" s="7" t="s">
        <v>2173</v>
      </c>
      <c r="D755" s="7" t="s">
        <v>2173</v>
      </c>
      <c r="E755" s="8" t="s">
        <v>2174</v>
      </c>
      <c r="F755" s="9" t="s">
        <v>2175</v>
      </c>
      <c r="G755" s="8" t="s">
        <v>2175</v>
      </c>
      <c r="H755" s="15"/>
      <c r="I755" s="15"/>
      <c r="J755" s="10"/>
      <c r="K755" s="10"/>
      <c r="L755" s="10"/>
      <c r="M755" s="11" t="str">
        <f aca="false">IF(COUNTA(J755:L755)&lt;3,"",IF(COUNTIF(J755:L755,"유지")=3,"채택","제외"))</f>
        <v/>
      </c>
      <c r="N755" s="12"/>
    </row>
    <row r="756" customFormat="false" ht="15" hidden="false" customHeight="false" outlineLevel="0" collapsed="false">
      <c r="A756" s="7" t="n">
        <v>755</v>
      </c>
      <c r="B756" s="7" t="s">
        <v>1967</v>
      </c>
      <c r="C756" s="7" t="s">
        <v>2173</v>
      </c>
      <c r="D756" s="7" t="s">
        <v>2176</v>
      </c>
      <c r="E756" s="8" t="s">
        <v>2177</v>
      </c>
      <c r="F756" s="9" t="s">
        <v>2178</v>
      </c>
      <c r="G756" s="8" t="s">
        <v>2178</v>
      </c>
      <c r="H756" s="13" t="s">
        <v>87</v>
      </c>
      <c r="I756" s="14"/>
      <c r="J756" s="10"/>
      <c r="K756" s="10"/>
      <c r="L756" s="10"/>
      <c r="M756" s="11" t="str">
        <f aca="false">IF(COUNTA(J756:L756)&lt;3,"",IF(COUNTIF(J756:L756,"유지")=3,"채택","제외"))</f>
        <v/>
      </c>
      <c r="N756" s="12"/>
    </row>
    <row r="757" customFormat="false" ht="15" hidden="false" customHeight="false" outlineLevel="0" collapsed="false">
      <c r="A757" s="7" t="n">
        <v>756</v>
      </c>
      <c r="B757" s="7" t="s">
        <v>1967</v>
      </c>
      <c r="C757" s="7" t="s">
        <v>2173</v>
      </c>
      <c r="D757" s="7" t="s">
        <v>2179</v>
      </c>
      <c r="E757" s="8" t="s">
        <v>2092</v>
      </c>
      <c r="F757" s="9" t="s">
        <v>2093</v>
      </c>
      <c r="G757" s="8" t="s">
        <v>2093</v>
      </c>
      <c r="H757" s="13" t="s">
        <v>87</v>
      </c>
      <c r="I757" s="14"/>
      <c r="J757" s="10"/>
      <c r="K757" s="10"/>
      <c r="L757" s="10"/>
      <c r="M757" s="11" t="str">
        <f aca="false">IF(COUNTA(J757:L757)&lt;3,"",IF(COUNTIF(J757:L757,"유지")=3,"채택","제외"))</f>
        <v/>
      </c>
      <c r="N757" s="12"/>
    </row>
    <row r="758" customFormat="false" ht="15" hidden="false" customHeight="false" outlineLevel="0" collapsed="false">
      <c r="A758" s="7" t="n">
        <v>757</v>
      </c>
      <c r="B758" s="7" t="s">
        <v>1967</v>
      </c>
      <c r="C758" s="7" t="s">
        <v>2173</v>
      </c>
      <c r="D758" s="7" t="s">
        <v>2180</v>
      </c>
      <c r="E758" s="8" t="s">
        <v>2181</v>
      </c>
      <c r="F758" s="9" t="s">
        <v>2182</v>
      </c>
      <c r="G758" s="8" t="s">
        <v>2182</v>
      </c>
      <c r="H758" s="15"/>
      <c r="I758" s="15"/>
      <c r="J758" s="10"/>
      <c r="K758" s="10"/>
      <c r="L758" s="10"/>
      <c r="M758" s="11" t="str">
        <f aca="false">IF(COUNTA(J758:L758)&lt;3,"",IF(COUNTIF(J758:L758,"유지")=3,"채택","제외"))</f>
        <v/>
      </c>
      <c r="N758" s="12"/>
    </row>
    <row r="759" customFormat="false" ht="15" hidden="false" customHeight="false" outlineLevel="0" collapsed="false">
      <c r="A759" s="7" t="n">
        <v>758</v>
      </c>
      <c r="B759" s="7" t="s">
        <v>1967</v>
      </c>
      <c r="C759" s="7" t="s">
        <v>2173</v>
      </c>
      <c r="D759" s="7" t="s">
        <v>2183</v>
      </c>
      <c r="E759" s="8" t="s">
        <v>2184</v>
      </c>
      <c r="F759" s="9" t="s">
        <v>2185</v>
      </c>
      <c r="G759" s="8" t="s">
        <v>2185</v>
      </c>
      <c r="H759" s="15"/>
      <c r="I759" s="15"/>
      <c r="J759" s="10"/>
      <c r="K759" s="10"/>
      <c r="L759" s="10"/>
      <c r="M759" s="11" t="str">
        <f aca="false">IF(COUNTA(J759:L759)&lt;3,"",IF(COUNTIF(J759:L759,"유지")=3,"채택","제외"))</f>
        <v/>
      </c>
      <c r="N759" s="12"/>
    </row>
    <row r="760" customFormat="false" ht="15" hidden="false" customHeight="false" outlineLevel="0" collapsed="false">
      <c r="A760" s="7" t="n">
        <v>759</v>
      </c>
      <c r="B760" s="7" t="s">
        <v>1967</v>
      </c>
      <c r="C760" s="7" t="s">
        <v>2173</v>
      </c>
      <c r="D760" s="7" t="s">
        <v>2186</v>
      </c>
      <c r="E760" s="8" t="s">
        <v>2162</v>
      </c>
      <c r="F760" s="9" t="s">
        <v>2163</v>
      </c>
      <c r="G760" s="8" t="s">
        <v>2163</v>
      </c>
      <c r="H760" s="13" t="s">
        <v>87</v>
      </c>
      <c r="I760" s="14"/>
      <c r="J760" s="10"/>
      <c r="K760" s="10"/>
      <c r="L760" s="10"/>
      <c r="M760" s="11" t="str">
        <f aca="false">IF(COUNTA(J760:L760)&lt;3,"",IF(COUNTIF(J760:L760,"유지")=3,"채택","제외"))</f>
        <v/>
      </c>
      <c r="N760" s="12"/>
    </row>
    <row r="761" customFormat="false" ht="15" hidden="false" customHeight="false" outlineLevel="0" collapsed="false">
      <c r="A761" s="7" t="n">
        <v>760</v>
      </c>
      <c r="B761" s="7" t="s">
        <v>1967</v>
      </c>
      <c r="C761" s="7" t="s">
        <v>2173</v>
      </c>
      <c r="D761" s="7" t="s">
        <v>2187</v>
      </c>
      <c r="E761" s="8" t="s">
        <v>2188</v>
      </c>
      <c r="F761" s="9" t="s">
        <v>2189</v>
      </c>
      <c r="G761" s="8" t="s">
        <v>2189</v>
      </c>
      <c r="H761" s="15"/>
      <c r="I761" s="15"/>
      <c r="J761" s="10"/>
      <c r="K761" s="10"/>
      <c r="L761" s="10"/>
      <c r="M761" s="11" t="str">
        <f aca="false">IF(COUNTA(J761:L761)&lt;3,"",IF(COUNTIF(J761:L761,"유지")=3,"채택","제외"))</f>
        <v/>
      </c>
      <c r="N761" s="12"/>
    </row>
    <row r="762" customFormat="false" ht="15" hidden="false" customHeight="false" outlineLevel="0" collapsed="false">
      <c r="A762" s="7" t="n">
        <v>761</v>
      </c>
      <c r="B762" s="7" t="s">
        <v>1967</v>
      </c>
      <c r="C762" s="7" t="s">
        <v>2173</v>
      </c>
      <c r="D762" s="7" t="s">
        <v>2190</v>
      </c>
      <c r="E762" s="8" t="s">
        <v>2191</v>
      </c>
      <c r="F762" s="9" t="s">
        <v>2192</v>
      </c>
      <c r="G762" s="8" t="s">
        <v>2192</v>
      </c>
      <c r="H762" s="13" t="s">
        <v>87</v>
      </c>
      <c r="I762" s="14"/>
      <c r="J762" s="10"/>
      <c r="K762" s="10"/>
      <c r="L762" s="10"/>
      <c r="M762" s="11" t="str">
        <f aca="false">IF(COUNTA(J762:L762)&lt;3,"",IF(COUNTIF(J762:L762,"유지")=3,"채택","제외"))</f>
        <v/>
      </c>
      <c r="N762" s="12"/>
    </row>
    <row r="763" customFormat="false" ht="29.85" hidden="false" customHeight="false" outlineLevel="0" collapsed="false">
      <c r="A763" s="7" t="n">
        <v>762</v>
      </c>
      <c r="B763" s="7" t="s">
        <v>1967</v>
      </c>
      <c r="C763" s="7" t="s">
        <v>2173</v>
      </c>
      <c r="D763" s="7" t="s">
        <v>2190</v>
      </c>
      <c r="E763" s="8" t="s">
        <v>2193</v>
      </c>
      <c r="F763" s="9" t="s">
        <v>2194</v>
      </c>
      <c r="G763" s="8" t="s">
        <v>2195</v>
      </c>
      <c r="H763" s="14"/>
      <c r="I763" s="14" t="s">
        <v>2196</v>
      </c>
      <c r="J763" s="10"/>
      <c r="K763" s="10"/>
      <c r="L763" s="10"/>
      <c r="M763" s="11" t="str">
        <f aca="false">IF(COUNTA(J763:L763)&lt;3,"",IF(COUNTIF(J763:L763,"유지")=3,"채택","제외"))</f>
        <v/>
      </c>
      <c r="N763" s="12"/>
    </row>
    <row r="764" customFormat="false" ht="15" hidden="false" customHeight="false" outlineLevel="0" collapsed="false">
      <c r="A764" s="7" t="n">
        <v>763</v>
      </c>
      <c r="B764" s="7" t="s">
        <v>1967</v>
      </c>
      <c r="C764" s="7" t="s">
        <v>2173</v>
      </c>
      <c r="D764" s="7" t="s">
        <v>2197</v>
      </c>
      <c r="E764" s="8" t="s">
        <v>2198</v>
      </c>
      <c r="F764" s="9" t="s">
        <v>2199</v>
      </c>
      <c r="G764" s="8" t="s">
        <v>2199</v>
      </c>
      <c r="H764" s="15"/>
      <c r="I764" s="15"/>
      <c r="J764" s="10"/>
      <c r="K764" s="10"/>
      <c r="L764" s="10"/>
      <c r="M764" s="11" t="str">
        <f aca="false">IF(COUNTA(J764:L764)&lt;3,"",IF(COUNTIF(J764:L764,"유지")=3,"채택","제외"))</f>
        <v/>
      </c>
      <c r="N764" s="12"/>
    </row>
    <row r="765" customFormat="false" ht="15" hidden="false" customHeight="false" outlineLevel="0" collapsed="false">
      <c r="A765" s="7" t="n">
        <v>764</v>
      </c>
      <c r="B765" s="7" t="s">
        <v>1967</v>
      </c>
      <c r="C765" s="7" t="s">
        <v>2173</v>
      </c>
      <c r="D765" s="7" t="s">
        <v>2200</v>
      </c>
      <c r="E765" s="8" t="s">
        <v>2201</v>
      </c>
      <c r="F765" s="9" t="s">
        <v>2202</v>
      </c>
      <c r="G765" s="8" t="s">
        <v>2202</v>
      </c>
      <c r="H765" s="15"/>
      <c r="I765" s="15"/>
      <c r="J765" s="10"/>
      <c r="K765" s="10"/>
      <c r="L765" s="10"/>
      <c r="M765" s="11" t="str">
        <f aca="false">IF(COUNTA(J765:L765)&lt;3,"",IF(COUNTIF(J765:L765,"유지")=3,"채택","제외"))</f>
        <v/>
      </c>
      <c r="N765" s="12"/>
    </row>
    <row r="766" customFormat="false" ht="15" hidden="false" customHeight="false" outlineLevel="0" collapsed="false">
      <c r="A766" s="7" t="n">
        <v>765</v>
      </c>
      <c r="B766" s="7" t="s">
        <v>1967</v>
      </c>
      <c r="C766" s="7" t="s">
        <v>2173</v>
      </c>
      <c r="D766" s="7" t="s">
        <v>2203</v>
      </c>
      <c r="E766" s="8" t="s">
        <v>2204</v>
      </c>
      <c r="F766" s="9" t="s">
        <v>2205</v>
      </c>
      <c r="G766" s="8" t="s">
        <v>2205</v>
      </c>
      <c r="H766" s="14"/>
      <c r="I766" s="14" t="s">
        <v>2206</v>
      </c>
      <c r="J766" s="10"/>
      <c r="K766" s="10"/>
      <c r="L766" s="10"/>
      <c r="M766" s="11" t="str">
        <f aca="false">IF(COUNTA(J766:L766)&lt;3,"",IF(COUNTIF(J766:L766,"유지")=3,"채택","제외"))</f>
        <v/>
      </c>
      <c r="N766" s="12"/>
    </row>
    <row r="767" customFormat="false" ht="15" hidden="false" customHeight="false" outlineLevel="0" collapsed="false">
      <c r="A767" s="7" t="n">
        <v>766</v>
      </c>
      <c r="B767" s="7" t="s">
        <v>1967</v>
      </c>
      <c r="C767" s="7" t="s">
        <v>2173</v>
      </c>
      <c r="D767" s="7" t="s">
        <v>2203</v>
      </c>
      <c r="E767" s="8" t="s">
        <v>2177</v>
      </c>
      <c r="F767" s="9" t="s">
        <v>2178</v>
      </c>
      <c r="G767" s="8" t="s">
        <v>2178</v>
      </c>
      <c r="H767" s="13" t="s">
        <v>87</v>
      </c>
      <c r="I767" s="14"/>
      <c r="J767" s="10"/>
      <c r="K767" s="10"/>
      <c r="L767" s="10"/>
      <c r="M767" s="11" t="str">
        <f aca="false">IF(COUNTA(J767:L767)&lt;3,"",IF(COUNTIF(J767:L767,"유지")=3,"채택","제외"))</f>
        <v/>
      </c>
      <c r="N767" s="12"/>
    </row>
    <row r="768" customFormat="false" ht="15" hidden="false" customHeight="false" outlineLevel="0" collapsed="false">
      <c r="A768" s="7" t="n">
        <v>767</v>
      </c>
      <c r="B768" s="7" t="s">
        <v>1967</v>
      </c>
      <c r="C768" s="7" t="s">
        <v>2173</v>
      </c>
      <c r="D768" s="7" t="s">
        <v>2207</v>
      </c>
      <c r="E768" s="8" t="s">
        <v>2208</v>
      </c>
      <c r="F768" s="9" t="s">
        <v>2209</v>
      </c>
      <c r="G768" s="8" t="s">
        <v>2209</v>
      </c>
      <c r="H768" s="15"/>
      <c r="I768" s="15"/>
      <c r="J768" s="10"/>
      <c r="K768" s="10"/>
      <c r="L768" s="10"/>
      <c r="M768" s="11" t="str">
        <f aca="false">IF(COUNTA(J768:L768)&lt;3,"",IF(COUNTIF(J768:L768,"유지")=3,"채택","제외"))</f>
        <v/>
      </c>
      <c r="N768" s="12"/>
    </row>
    <row r="769" customFormat="false" ht="15" hidden="false" customHeight="false" outlineLevel="0" collapsed="false">
      <c r="A769" s="7" t="n">
        <v>768</v>
      </c>
      <c r="B769" s="7" t="s">
        <v>1967</v>
      </c>
      <c r="C769" s="7" t="s">
        <v>2173</v>
      </c>
      <c r="D769" s="7" t="s">
        <v>2210</v>
      </c>
      <c r="E769" s="8" t="s">
        <v>2211</v>
      </c>
      <c r="F769" s="9" t="s">
        <v>2212</v>
      </c>
      <c r="G769" s="8" t="s">
        <v>2213</v>
      </c>
      <c r="H769" s="15"/>
      <c r="I769" s="15"/>
      <c r="J769" s="10"/>
      <c r="K769" s="10"/>
      <c r="L769" s="10"/>
      <c r="M769" s="11" t="str">
        <f aca="false">IF(COUNTA(J769:L769)&lt;3,"",IF(COUNTIF(J769:L769,"유지")=3,"채택","제외"))</f>
        <v/>
      </c>
      <c r="N769" s="12"/>
    </row>
    <row r="770" customFormat="false" ht="15" hidden="false" customHeight="false" outlineLevel="0" collapsed="false">
      <c r="A770" s="7" t="n">
        <v>769</v>
      </c>
      <c r="B770" s="7" t="s">
        <v>1967</v>
      </c>
      <c r="C770" s="7" t="s">
        <v>2173</v>
      </c>
      <c r="D770" s="7" t="s">
        <v>2214</v>
      </c>
      <c r="E770" s="8" t="s">
        <v>2215</v>
      </c>
      <c r="F770" s="9" t="s">
        <v>2216</v>
      </c>
      <c r="G770" s="8" t="s">
        <v>2216</v>
      </c>
      <c r="H770" s="15"/>
      <c r="I770" s="15"/>
      <c r="J770" s="10"/>
      <c r="K770" s="10"/>
      <c r="L770" s="10"/>
      <c r="M770" s="11" t="str">
        <f aca="false">IF(COUNTA(J770:L770)&lt;3,"",IF(COUNTIF(J770:L770,"유지")=3,"채택","제외"))</f>
        <v/>
      </c>
      <c r="N770" s="12"/>
    </row>
    <row r="771" customFormat="false" ht="15" hidden="false" customHeight="false" outlineLevel="0" collapsed="false">
      <c r="A771" s="7" t="n">
        <v>770</v>
      </c>
      <c r="B771" s="7" t="s">
        <v>1967</v>
      </c>
      <c r="C771" s="7" t="s">
        <v>2173</v>
      </c>
      <c r="D771" s="7" t="s">
        <v>2217</v>
      </c>
      <c r="E771" s="8" t="s">
        <v>2218</v>
      </c>
      <c r="F771" s="9" t="s">
        <v>2219</v>
      </c>
      <c r="G771" s="8" t="s">
        <v>2219</v>
      </c>
      <c r="H771" s="15"/>
      <c r="I771" s="15"/>
      <c r="J771" s="10"/>
      <c r="K771" s="10"/>
      <c r="L771" s="10"/>
      <c r="M771" s="11" t="str">
        <f aca="false">IF(COUNTA(J771:L771)&lt;3,"",IF(COUNTIF(J771:L771,"유지")=3,"채택","제외"))</f>
        <v/>
      </c>
      <c r="N771" s="12"/>
    </row>
    <row r="772" customFormat="false" ht="15" hidden="false" customHeight="false" outlineLevel="0" collapsed="false">
      <c r="A772" s="7" t="n">
        <v>771</v>
      </c>
      <c r="B772" s="7" t="s">
        <v>1967</v>
      </c>
      <c r="C772" s="7" t="s">
        <v>2173</v>
      </c>
      <c r="D772" s="7" t="s">
        <v>2220</v>
      </c>
      <c r="E772" s="8" t="s">
        <v>2221</v>
      </c>
      <c r="F772" s="9" t="s">
        <v>2222</v>
      </c>
      <c r="G772" s="8" t="s">
        <v>2222</v>
      </c>
      <c r="H772" s="15"/>
      <c r="I772" s="15"/>
      <c r="J772" s="10"/>
      <c r="K772" s="10"/>
      <c r="L772" s="10"/>
      <c r="M772" s="11" t="str">
        <f aca="false">IF(COUNTA(J772:L772)&lt;3,"",IF(COUNTIF(J772:L772,"유지")=3,"채택","제외"))</f>
        <v/>
      </c>
      <c r="N772" s="12"/>
    </row>
    <row r="773" customFormat="false" ht="15" hidden="false" customHeight="false" outlineLevel="0" collapsed="false">
      <c r="A773" s="7" t="n">
        <v>772</v>
      </c>
      <c r="B773" s="7" t="s">
        <v>1967</v>
      </c>
      <c r="C773" s="7" t="s">
        <v>2173</v>
      </c>
      <c r="D773" s="7" t="s">
        <v>2223</v>
      </c>
      <c r="E773" s="8" t="s">
        <v>2224</v>
      </c>
      <c r="F773" s="9" t="s">
        <v>2225</v>
      </c>
      <c r="G773" s="8" t="s">
        <v>2225</v>
      </c>
      <c r="H773" s="15"/>
      <c r="I773" s="15"/>
      <c r="J773" s="10"/>
      <c r="K773" s="10"/>
      <c r="L773" s="10"/>
      <c r="M773" s="11" t="str">
        <f aca="false">IF(COUNTA(J773:L773)&lt;3,"",IF(COUNTIF(J773:L773,"유지")=3,"채택","제외"))</f>
        <v/>
      </c>
      <c r="N773" s="12"/>
    </row>
    <row r="774" customFormat="false" ht="15" hidden="false" customHeight="false" outlineLevel="0" collapsed="false">
      <c r="A774" s="7" t="n">
        <v>773</v>
      </c>
      <c r="B774" s="7" t="s">
        <v>1967</v>
      </c>
      <c r="C774" s="7" t="s">
        <v>2173</v>
      </c>
      <c r="D774" s="7" t="s">
        <v>2226</v>
      </c>
      <c r="E774" s="8" t="s">
        <v>2227</v>
      </c>
      <c r="F774" s="9" t="s">
        <v>2228</v>
      </c>
      <c r="G774" s="8" t="s">
        <v>2228</v>
      </c>
      <c r="H774" s="15"/>
      <c r="I774" s="15"/>
      <c r="J774" s="10"/>
      <c r="K774" s="10"/>
      <c r="L774" s="10"/>
      <c r="M774" s="11" t="str">
        <f aca="false">IF(COUNTA(J774:L774)&lt;3,"",IF(COUNTIF(J774:L774,"유지")=3,"채택","제외"))</f>
        <v/>
      </c>
      <c r="N774" s="12"/>
    </row>
    <row r="775" customFormat="false" ht="29.85" hidden="false" customHeight="false" outlineLevel="0" collapsed="false">
      <c r="A775" s="7" t="n">
        <v>774</v>
      </c>
      <c r="B775" s="7" t="s">
        <v>1967</v>
      </c>
      <c r="C775" s="7" t="s">
        <v>2173</v>
      </c>
      <c r="D775" s="7" t="s">
        <v>2229</v>
      </c>
      <c r="E775" s="8" t="s">
        <v>2230</v>
      </c>
      <c r="F775" s="9" t="s">
        <v>2231</v>
      </c>
      <c r="G775" s="8" t="s">
        <v>2231</v>
      </c>
      <c r="H775" s="14"/>
      <c r="I775" s="14" t="s">
        <v>2232</v>
      </c>
      <c r="J775" s="10"/>
      <c r="K775" s="10"/>
      <c r="L775" s="10"/>
      <c r="M775" s="11" t="str">
        <f aca="false">IF(COUNTA(J775:L775)&lt;3,"",IF(COUNTIF(J775:L775,"유지")=3,"채택","제외"))</f>
        <v/>
      </c>
      <c r="N775" s="12"/>
    </row>
    <row r="776" customFormat="false" ht="15" hidden="false" customHeight="false" outlineLevel="0" collapsed="false">
      <c r="A776" s="7" t="n">
        <v>775</v>
      </c>
      <c r="B776" s="7" t="s">
        <v>1967</v>
      </c>
      <c r="C776" s="7" t="s">
        <v>2173</v>
      </c>
      <c r="D776" s="7" t="s">
        <v>2229</v>
      </c>
      <c r="E776" s="8" t="s">
        <v>2233</v>
      </c>
      <c r="F776" s="9" t="s">
        <v>2234</v>
      </c>
      <c r="G776" s="8" t="s">
        <v>2234</v>
      </c>
      <c r="H776" s="14"/>
      <c r="I776" s="14" t="s">
        <v>2235</v>
      </c>
      <c r="J776" s="10"/>
      <c r="K776" s="10"/>
      <c r="L776" s="10"/>
      <c r="M776" s="11" t="str">
        <f aca="false">IF(COUNTA(J776:L776)&lt;3,"",IF(COUNTIF(J776:L776,"유지")=3,"채택","제외"))</f>
        <v/>
      </c>
      <c r="N776" s="12"/>
    </row>
    <row r="777" customFormat="false" ht="15" hidden="false" customHeight="false" outlineLevel="0" collapsed="false">
      <c r="A777" s="7" t="n">
        <v>776</v>
      </c>
      <c r="B777" s="7" t="s">
        <v>1967</v>
      </c>
      <c r="C777" s="7" t="s">
        <v>2173</v>
      </c>
      <c r="D777" s="7" t="s">
        <v>2236</v>
      </c>
      <c r="E777" s="8" t="s">
        <v>54</v>
      </c>
      <c r="F777" s="9" t="s">
        <v>55</v>
      </c>
      <c r="G777" s="8" t="s">
        <v>55</v>
      </c>
      <c r="H777" s="13" t="s">
        <v>56</v>
      </c>
      <c r="I777" s="14"/>
      <c r="J777" s="10"/>
      <c r="K777" s="10"/>
      <c r="L777" s="10"/>
      <c r="M777" s="11" t="str">
        <f aca="false">IF(COUNTA(J777:L777)&lt;3,"",IF(COUNTIF(J777:L777,"유지")=3,"채택","제외"))</f>
        <v/>
      </c>
      <c r="N777" s="12"/>
    </row>
    <row r="778" customFormat="false" ht="15" hidden="false" customHeight="false" outlineLevel="0" collapsed="false">
      <c r="A778" s="7" t="n">
        <v>777</v>
      </c>
      <c r="B778" s="7" t="s">
        <v>1967</v>
      </c>
      <c r="C778" s="7" t="s">
        <v>2173</v>
      </c>
      <c r="D778" s="7" t="s">
        <v>2237</v>
      </c>
      <c r="E778" s="8" t="s">
        <v>2238</v>
      </c>
      <c r="F778" s="9" t="s">
        <v>2239</v>
      </c>
      <c r="G778" s="8" t="s">
        <v>2239</v>
      </c>
      <c r="H778" s="13" t="s">
        <v>87</v>
      </c>
      <c r="I778" s="14"/>
      <c r="J778" s="10"/>
      <c r="K778" s="10"/>
      <c r="L778" s="10"/>
      <c r="M778" s="11" t="str">
        <f aca="false">IF(COUNTA(J778:L778)&lt;3,"",IF(COUNTIF(J778:L778,"유지")=3,"채택","제외"))</f>
        <v/>
      </c>
      <c r="N778" s="12"/>
    </row>
    <row r="779" customFormat="false" ht="15" hidden="false" customHeight="false" outlineLevel="0" collapsed="false">
      <c r="A779" s="7" t="n">
        <v>778</v>
      </c>
      <c r="B779" s="7" t="s">
        <v>1967</v>
      </c>
      <c r="C779" s="7" t="s">
        <v>2173</v>
      </c>
      <c r="D779" s="7" t="s">
        <v>2240</v>
      </c>
      <c r="E779" s="8" t="s">
        <v>2125</v>
      </c>
      <c r="F779" s="9" t="s">
        <v>2126</v>
      </c>
      <c r="G779" s="8" t="s">
        <v>2126</v>
      </c>
      <c r="H779" s="13" t="s">
        <v>87</v>
      </c>
      <c r="I779" s="14"/>
      <c r="J779" s="10"/>
      <c r="K779" s="10"/>
      <c r="L779" s="10"/>
      <c r="M779" s="11" t="str">
        <f aca="false">IF(COUNTA(J779:L779)&lt;3,"",IF(COUNTIF(J779:L779,"유지")=3,"채택","제외"))</f>
        <v/>
      </c>
      <c r="N779" s="12"/>
    </row>
    <row r="780" customFormat="false" ht="26.85" hidden="false" customHeight="false" outlineLevel="0" collapsed="false">
      <c r="A780" s="7" t="n">
        <v>779</v>
      </c>
      <c r="B780" s="7" t="s">
        <v>1967</v>
      </c>
      <c r="C780" s="7" t="s">
        <v>2173</v>
      </c>
      <c r="D780" s="7" t="s">
        <v>2241</v>
      </c>
      <c r="E780" s="8" t="s">
        <v>43</v>
      </c>
      <c r="F780" s="9" t="s">
        <v>44</v>
      </c>
      <c r="G780" s="8" t="s">
        <v>44</v>
      </c>
      <c r="H780" s="13" t="s">
        <v>45</v>
      </c>
      <c r="I780" s="14" t="s">
        <v>46</v>
      </c>
      <c r="J780" s="10"/>
      <c r="K780" s="10"/>
      <c r="L780" s="10"/>
      <c r="M780" s="11" t="str">
        <f aca="false">IF(COUNTA(J780:L780)&lt;3,"",IF(COUNTIF(J780:L780,"유지")=3,"채택","제외"))</f>
        <v/>
      </c>
      <c r="N780" s="12"/>
    </row>
    <row r="781" customFormat="false" ht="15" hidden="false" customHeight="false" outlineLevel="0" collapsed="false">
      <c r="A781" s="7" t="n">
        <v>780</v>
      </c>
      <c r="B781" s="7" t="s">
        <v>1967</v>
      </c>
      <c r="C781" s="7" t="s">
        <v>2173</v>
      </c>
      <c r="D781" s="7" t="s">
        <v>2242</v>
      </c>
      <c r="E781" s="8" t="s">
        <v>2243</v>
      </c>
      <c r="F781" s="9" t="s">
        <v>2244</v>
      </c>
      <c r="G781" s="8" t="s">
        <v>2244</v>
      </c>
      <c r="H781" s="15"/>
      <c r="I781" s="15"/>
      <c r="J781" s="10"/>
      <c r="K781" s="10"/>
      <c r="L781" s="10"/>
      <c r="M781" s="11" t="str">
        <f aca="false">IF(COUNTA(J781:L781)&lt;3,"",IF(COUNTIF(J781:L781,"유지")=3,"채택","제외"))</f>
        <v/>
      </c>
      <c r="N781" s="12"/>
    </row>
    <row r="782" customFormat="false" ht="15" hidden="false" customHeight="false" outlineLevel="0" collapsed="false">
      <c r="A782" s="7" t="n">
        <v>781</v>
      </c>
      <c r="B782" s="7" t="s">
        <v>1967</v>
      </c>
      <c r="C782" s="7" t="s">
        <v>2173</v>
      </c>
      <c r="D782" s="7" t="s">
        <v>2245</v>
      </c>
      <c r="E782" s="8" t="s">
        <v>2246</v>
      </c>
      <c r="F782" s="9" t="s">
        <v>2247</v>
      </c>
      <c r="G782" s="8" t="s">
        <v>2247</v>
      </c>
      <c r="H782" s="15"/>
      <c r="I782" s="15"/>
      <c r="J782" s="10"/>
      <c r="K782" s="10"/>
      <c r="L782" s="10"/>
      <c r="M782" s="11" t="str">
        <f aca="false">IF(COUNTA(J782:L782)&lt;3,"",IF(COUNTIF(J782:L782,"유지")=3,"채택","제외"))</f>
        <v/>
      </c>
      <c r="N782" s="12"/>
    </row>
    <row r="783" customFormat="false" ht="15" hidden="false" customHeight="false" outlineLevel="0" collapsed="false">
      <c r="A783" s="7" t="n">
        <v>782</v>
      </c>
      <c r="B783" s="7" t="s">
        <v>1967</v>
      </c>
      <c r="C783" s="7" t="s">
        <v>2173</v>
      </c>
      <c r="D783" s="7" t="s">
        <v>2248</v>
      </c>
      <c r="E783" s="8" t="s">
        <v>2249</v>
      </c>
      <c r="F783" s="9" t="s">
        <v>2250</v>
      </c>
      <c r="G783" s="8" t="s">
        <v>2250</v>
      </c>
      <c r="H783" s="15"/>
      <c r="I783" s="15"/>
      <c r="J783" s="10"/>
      <c r="K783" s="10"/>
      <c r="L783" s="10"/>
      <c r="M783" s="11" t="str">
        <f aca="false">IF(COUNTA(J783:L783)&lt;3,"",IF(COUNTIF(J783:L783,"유지")=3,"채택","제외"))</f>
        <v/>
      </c>
      <c r="N783" s="12"/>
    </row>
    <row r="784" customFormat="false" ht="15" hidden="false" customHeight="false" outlineLevel="0" collapsed="false">
      <c r="A784" s="7" t="n">
        <v>783</v>
      </c>
      <c r="B784" s="7" t="s">
        <v>1967</v>
      </c>
      <c r="C784" s="7" t="s">
        <v>2173</v>
      </c>
      <c r="D784" s="7" t="s">
        <v>2251</v>
      </c>
      <c r="E784" s="8" t="s">
        <v>2252</v>
      </c>
      <c r="F784" s="9" t="s">
        <v>2253</v>
      </c>
      <c r="G784" s="8" t="s">
        <v>2253</v>
      </c>
      <c r="H784" s="15"/>
      <c r="I784" s="15"/>
      <c r="J784" s="10"/>
      <c r="K784" s="10"/>
      <c r="L784" s="10"/>
      <c r="M784" s="11" t="str">
        <f aca="false">IF(COUNTA(J784:L784)&lt;3,"",IF(COUNTIF(J784:L784,"유지")=3,"채택","제외"))</f>
        <v/>
      </c>
      <c r="N784" s="12"/>
    </row>
    <row r="785" customFormat="false" ht="15" hidden="false" customHeight="false" outlineLevel="0" collapsed="false">
      <c r="A785" s="7" t="n">
        <v>784</v>
      </c>
      <c r="B785" s="7" t="s">
        <v>1967</v>
      </c>
      <c r="C785" s="7" t="s">
        <v>2173</v>
      </c>
      <c r="D785" s="7" t="s">
        <v>2254</v>
      </c>
      <c r="E785" s="8" t="s">
        <v>2191</v>
      </c>
      <c r="F785" s="9" t="s">
        <v>2192</v>
      </c>
      <c r="G785" s="8" t="s">
        <v>2192</v>
      </c>
      <c r="H785" s="13" t="s">
        <v>87</v>
      </c>
      <c r="I785" s="14"/>
      <c r="J785" s="10"/>
      <c r="K785" s="10"/>
      <c r="L785" s="10"/>
      <c r="M785" s="11" t="str">
        <f aca="false">IF(COUNTA(J785:L785)&lt;3,"",IF(COUNTIF(J785:L785,"유지")=3,"채택","제외"))</f>
        <v/>
      </c>
      <c r="N785" s="12"/>
    </row>
    <row r="786" customFormat="false" ht="15" hidden="false" customHeight="false" outlineLevel="0" collapsed="false">
      <c r="A786" s="7" t="n">
        <v>785</v>
      </c>
      <c r="B786" s="7" t="s">
        <v>1967</v>
      </c>
      <c r="C786" s="7" t="s">
        <v>2173</v>
      </c>
      <c r="D786" s="7" t="s">
        <v>2255</v>
      </c>
      <c r="E786" s="8" t="s">
        <v>2238</v>
      </c>
      <c r="F786" s="9" t="s">
        <v>2239</v>
      </c>
      <c r="G786" s="8" t="s">
        <v>2239</v>
      </c>
      <c r="H786" s="13" t="s">
        <v>87</v>
      </c>
      <c r="I786" s="14"/>
      <c r="J786" s="10"/>
      <c r="K786" s="10"/>
      <c r="L786" s="10"/>
      <c r="M786" s="11" t="str">
        <f aca="false">IF(COUNTA(J786:L786)&lt;3,"",IF(COUNTIF(J786:L786,"유지")=3,"채택","제외"))</f>
        <v/>
      </c>
      <c r="N786" s="12"/>
    </row>
    <row r="787" customFormat="false" ht="15" hidden="false" customHeight="false" outlineLevel="0" collapsed="false">
      <c r="A787" s="7" t="n">
        <v>786</v>
      </c>
      <c r="B787" s="7" t="s">
        <v>1967</v>
      </c>
      <c r="C787" s="7" t="s">
        <v>2256</v>
      </c>
      <c r="D787" s="7" t="s">
        <v>2256</v>
      </c>
      <c r="E787" s="8" t="s">
        <v>2257</v>
      </c>
      <c r="F787" s="9" t="s">
        <v>2258</v>
      </c>
      <c r="G787" s="8" t="s">
        <v>2258</v>
      </c>
      <c r="H787" s="14" t="s">
        <v>500</v>
      </c>
      <c r="I787" s="14" t="s">
        <v>2259</v>
      </c>
      <c r="J787" s="10"/>
      <c r="K787" s="10"/>
      <c r="L787" s="10"/>
      <c r="M787" s="11" t="str">
        <f aca="false">IF(COUNTA(J787:L787)&lt;3,"",IF(COUNTIF(J787:L787,"유지")=3,"채택","제외"))</f>
        <v/>
      </c>
      <c r="N787" s="12"/>
    </row>
    <row r="788" customFormat="false" ht="15" hidden="false" customHeight="false" outlineLevel="0" collapsed="false">
      <c r="A788" s="7" t="n">
        <v>787</v>
      </c>
      <c r="B788" s="7" t="s">
        <v>1967</v>
      </c>
      <c r="C788" s="7" t="s">
        <v>2256</v>
      </c>
      <c r="D788" s="7" t="s">
        <v>2260</v>
      </c>
      <c r="E788" s="8" t="s">
        <v>2261</v>
      </c>
      <c r="F788" s="9" t="s">
        <v>2262</v>
      </c>
      <c r="G788" s="8" t="s">
        <v>2262</v>
      </c>
      <c r="H788" s="13" t="s">
        <v>87</v>
      </c>
      <c r="I788" s="14"/>
      <c r="J788" s="10"/>
      <c r="K788" s="10"/>
      <c r="L788" s="10"/>
      <c r="M788" s="11" t="str">
        <f aca="false">IF(COUNTA(J788:L788)&lt;3,"",IF(COUNTIF(J788:L788,"유지")=3,"채택","제외"))</f>
        <v/>
      </c>
      <c r="N788" s="12"/>
    </row>
    <row r="789" customFormat="false" ht="15" hidden="false" customHeight="false" outlineLevel="0" collapsed="false">
      <c r="A789" s="7" t="n">
        <v>788</v>
      </c>
      <c r="B789" s="7" t="s">
        <v>1967</v>
      </c>
      <c r="C789" s="7" t="s">
        <v>2256</v>
      </c>
      <c r="D789" s="7" t="s">
        <v>2260</v>
      </c>
      <c r="E789" s="8" t="s">
        <v>2263</v>
      </c>
      <c r="F789" s="9" t="s">
        <v>2264</v>
      </c>
      <c r="G789" s="8" t="s">
        <v>2264</v>
      </c>
      <c r="H789" s="15"/>
      <c r="I789" s="15"/>
      <c r="J789" s="10"/>
      <c r="K789" s="10"/>
      <c r="L789" s="10"/>
      <c r="M789" s="11" t="str">
        <f aca="false">IF(COUNTA(J789:L789)&lt;3,"",IF(COUNTIF(J789:L789,"유지")=3,"채택","제외"))</f>
        <v/>
      </c>
      <c r="N789" s="12"/>
    </row>
    <row r="790" customFormat="false" ht="15" hidden="false" customHeight="false" outlineLevel="0" collapsed="false">
      <c r="A790" s="7" t="n">
        <v>789</v>
      </c>
      <c r="B790" s="7" t="s">
        <v>1967</v>
      </c>
      <c r="C790" s="7" t="s">
        <v>2256</v>
      </c>
      <c r="D790" s="7" t="s">
        <v>2265</v>
      </c>
      <c r="E790" s="8" t="s">
        <v>2266</v>
      </c>
      <c r="F790" s="9" t="s">
        <v>2267</v>
      </c>
      <c r="G790" s="8" t="s">
        <v>2267</v>
      </c>
      <c r="H790" s="15"/>
      <c r="I790" s="15"/>
      <c r="J790" s="10"/>
      <c r="K790" s="10"/>
      <c r="L790" s="10"/>
      <c r="M790" s="11" t="str">
        <f aca="false">IF(COUNTA(J790:L790)&lt;3,"",IF(COUNTIF(J790:L790,"유지")=3,"채택","제외"))</f>
        <v/>
      </c>
      <c r="N790" s="12"/>
    </row>
    <row r="791" customFormat="false" ht="15" hidden="false" customHeight="false" outlineLevel="0" collapsed="false">
      <c r="A791" s="7" t="n">
        <v>790</v>
      </c>
      <c r="B791" s="7" t="s">
        <v>1967</v>
      </c>
      <c r="C791" s="7" t="s">
        <v>2256</v>
      </c>
      <c r="D791" s="7" t="s">
        <v>2268</v>
      </c>
      <c r="E791" s="8" t="s">
        <v>2269</v>
      </c>
      <c r="F791" s="9" t="s">
        <v>2270</v>
      </c>
      <c r="G791" s="8" t="s">
        <v>2270</v>
      </c>
      <c r="H791" s="13" t="s">
        <v>87</v>
      </c>
      <c r="I791" s="14"/>
      <c r="J791" s="10"/>
      <c r="K791" s="10"/>
      <c r="L791" s="10"/>
      <c r="M791" s="11" t="str">
        <f aca="false">IF(COUNTA(J791:L791)&lt;3,"",IF(COUNTIF(J791:L791,"유지")=3,"채택","제외"))</f>
        <v/>
      </c>
      <c r="N791" s="12"/>
    </row>
    <row r="792" customFormat="false" ht="15" hidden="false" customHeight="false" outlineLevel="0" collapsed="false">
      <c r="A792" s="7" t="n">
        <v>791</v>
      </c>
      <c r="B792" s="7" t="s">
        <v>1967</v>
      </c>
      <c r="C792" s="7" t="s">
        <v>2256</v>
      </c>
      <c r="D792" s="7" t="s">
        <v>2271</v>
      </c>
      <c r="E792" s="8" t="s">
        <v>2269</v>
      </c>
      <c r="F792" s="9" t="s">
        <v>2270</v>
      </c>
      <c r="G792" s="8" t="s">
        <v>2270</v>
      </c>
      <c r="H792" s="13" t="s">
        <v>87</v>
      </c>
      <c r="I792" s="14"/>
      <c r="J792" s="10"/>
      <c r="K792" s="10"/>
      <c r="L792" s="10"/>
      <c r="M792" s="11" t="str">
        <f aca="false">IF(COUNTA(J792:L792)&lt;3,"",IF(COUNTIF(J792:L792,"유지")=3,"채택","제외"))</f>
        <v/>
      </c>
      <c r="N792" s="12"/>
    </row>
    <row r="793" customFormat="false" ht="15" hidden="false" customHeight="false" outlineLevel="0" collapsed="false">
      <c r="A793" s="7" t="n">
        <v>792</v>
      </c>
      <c r="B793" s="7" t="s">
        <v>1967</v>
      </c>
      <c r="C793" s="7" t="s">
        <v>2256</v>
      </c>
      <c r="D793" s="7" t="s">
        <v>2272</v>
      </c>
      <c r="E793" s="8" t="s">
        <v>2273</v>
      </c>
      <c r="F793" s="9" t="s">
        <v>2274</v>
      </c>
      <c r="G793" s="8" t="s">
        <v>2274</v>
      </c>
      <c r="H793" s="15"/>
      <c r="I793" s="15"/>
      <c r="J793" s="10"/>
      <c r="K793" s="10"/>
      <c r="L793" s="10"/>
      <c r="M793" s="11" t="str">
        <f aca="false">IF(COUNTA(J793:L793)&lt;3,"",IF(COUNTIF(J793:L793,"유지")=3,"채택","제외"))</f>
        <v/>
      </c>
      <c r="N793" s="12"/>
    </row>
    <row r="794" customFormat="false" ht="15" hidden="false" customHeight="false" outlineLevel="0" collapsed="false">
      <c r="A794" s="7" t="n">
        <v>793</v>
      </c>
      <c r="B794" s="7" t="s">
        <v>1967</v>
      </c>
      <c r="C794" s="7" t="s">
        <v>2256</v>
      </c>
      <c r="D794" s="7" t="s">
        <v>2275</v>
      </c>
      <c r="E794" s="8" t="s">
        <v>2000</v>
      </c>
      <c r="F794" s="9" t="s">
        <v>2001</v>
      </c>
      <c r="G794" s="8" t="s">
        <v>2001</v>
      </c>
      <c r="H794" s="13" t="s">
        <v>87</v>
      </c>
      <c r="I794" s="14"/>
      <c r="J794" s="10"/>
      <c r="K794" s="10"/>
      <c r="L794" s="10"/>
      <c r="M794" s="11" t="str">
        <f aca="false">IF(COUNTA(J794:L794)&lt;3,"",IF(COUNTIF(J794:L794,"유지")=3,"채택","제외"))</f>
        <v/>
      </c>
      <c r="N794" s="12"/>
    </row>
    <row r="795" customFormat="false" ht="15" hidden="false" customHeight="false" outlineLevel="0" collapsed="false">
      <c r="A795" s="7" t="n">
        <v>794</v>
      </c>
      <c r="B795" s="7" t="s">
        <v>1967</v>
      </c>
      <c r="C795" s="7" t="s">
        <v>2256</v>
      </c>
      <c r="D795" s="7" t="s">
        <v>2276</v>
      </c>
      <c r="E795" s="8" t="s">
        <v>2277</v>
      </c>
      <c r="F795" s="9" t="s">
        <v>2278</v>
      </c>
      <c r="G795" s="8" t="s">
        <v>2279</v>
      </c>
      <c r="H795" s="13" t="s">
        <v>87</v>
      </c>
      <c r="I795" s="14"/>
      <c r="J795" s="10"/>
      <c r="K795" s="10"/>
      <c r="L795" s="10"/>
      <c r="M795" s="11" t="str">
        <f aca="false">IF(COUNTA(J795:L795)&lt;3,"",IF(COUNTIF(J795:L795,"유지")=3,"채택","제외"))</f>
        <v/>
      </c>
      <c r="N795" s="12"/>
    </row>
    <row r="796" customFormat="false" ht="15" hidden="false" customHeight="false" outlineLevel="0" collapsed="false">
      <c r="A796" s="7" t="n">
        <v>795</v>
      </c>
      <c r="B796" s="7" t="s">
        <v>1967</v>
      </c>
      <c r="C796" s="7" t="s">
        <v>2256</v>
      </c>
      <c r="D796" s="7" t="s">
        <v>2280</v>
      </c>
      <c r="E796" s="8" t="s">
        <v>2281</v>
      </c>
      <c r="F796" s="9" t="s">
        <v>1974</v>
      </c>
      <c r="G796" s="8" t="s">
        <v>1974</v>
      </c>
      <c r="H796" s="13" t="s">
        <v>87</v>
      </c>
      <c r="I796" s="14"/>
      <c r="J796" s="10"/>
      <c r="K796" s="10"/>
      <c r="L796" s="10"/>
      <c r="M796" s="11" t="str">
        <f aca="false">IF(COUNTA(J796:L796)&lt;3,"",IF(COUNTIF(J796:L796,"유지")=3,"채택","제외"))</f>
        <v/>
      </c>
      <c r="N796" s="12"/>
    </row>
    <row r="797" customFormat="false" ht="15" hidden="false" customHeight="false" outlineLevel="0" collapsed="false">
      <c r="A797" s="7" t="n">
        <v>796</v>
      </c>
      <c r="B797" s="7" t="s">
        <v>1967</v>
      </c>
      <c r="C797" s="7" t="s">
        <v>2256</v>
      </c>
      <c r="D797" s="7" t="s">
        <v>2282</v>
      </c>
      <c r="E797" s="8" t="s">
        <v>2283</v>
      </c>
      <c r="F797" s="9" t="s">
        <v>2284</v>
      </c>
      <c r="G797" s="8" t="s">
        <v>2284</v>
      </c>
      <c r="H797" s="15"/>
      <c r="I797" s="15"/>
      <c r="J797" s="10"/>
      <c r="K797" s="10"/>
      <c r="L797" s="10"/>
      <c r="M797" s="11" t="str">
        <f aca="false">IF(COUNTA(J797:L797)&lt;3,"",IF(COUNTIF(J797:L797,"유지")=3,"채택","제외"))</f>
        <v/>
      </c>
      <c r="N797" s="12"/>
    </row>
    <row r="798" customFormat="false" ht="15" hidden="false" customHeight="false" outlineLevel="0" collapsed="false">
      <c r="A798" s="7" t="n">
        <v>797</v>
      </c>
      <c r="B798" s="7" t="s">
        <v>1967</v>
      </c>
      <c r="C798" s="7" t="s">
        <v>2256</v>
      </c>
      <c r="D798" s="7" t="s">
        <v>2285</v>
      </c>
      <c r="E798" s="8" t="s">
        <v>2286</v>
      </c>
      <c r="F798" s="9" t="s">
        <v>2287</v>
      </c>
      <c r="G798" s="8" t="s">
        <v>2287</v>
      </c>
      <c r="H798" s="15"/>
      <c r="I798" s="15"/>
      <c r="J798" s="10"/>
      <c r="K798" s="10"/>
      <c r="L798" s="10"/>
      <c r="M798" s="11" t="str">
        <f aca="false">IF(COUNTA(J798:L798)&lt;3,"",IF(COUNTIF(J798:L798,"유지")=3,"채택","제외"))</f>
        <v/>
      </c>
      <c r="N798" s="12"/>
    </row>
    <row r="799" customFormat="false" ht="15" hidden="false" customHeight="false" outlineLevel="0" collapsed="false">
      <c r="A799" s="7" t="n">
        <v>798</v>
      </c>
      <c r="B799" s="7" t="s">
        <v>1967</v>
      </c>
      <c r="C799" s="7" t="s">
        <v>2256</v>
      </c>
      <c r="D799" s="7" t="s">
        <v>2288</v>
      </c>
      <c r="E799" s="8" t="s">
        <v>551</v>
      </c>
      <c r="F799" s="9" t="s">
        <v>552</v>
      </c>
      <c r="G799" s="8" t="s">
        <v>552</v>
      </c>
      <c r="H799" s="13" t="s">
        <v>56</v>
      </c>
      <c r="I799" s="14" t="s">
        <v>553</v>
      </c>
      <c r="J799" s="10"/>
      <c r="K799" s="10"/>
      <c r="L799" s="10"/>
      <c r="M799" s="11" t="str">
        <f aca="false">IF(COUNTA(J799:L799)&lt;3,"",IF(COUNTIF(J799:L799,"유지")=3,"채택","제외"))</f>
        <v/>
      </c>
      <c r="N799" s="12"/>
    </row>
    <row r="800" customFormat="false" ht="29.85" hidden="false" customHeight="false" outlineLevel="0" collapsed="false">
      <c r="A800" s="7" t="n">
        <v>799</v>
      </c>
      <c r="B800" s="7" t="s">
        <v>1967</v>
      </c>
      <c r="C800" s="7" t="s">
        <v>2256</v>
      </c>
      <c r="D800" s="7" t="s">
        <v>2289</v>
      </c>
      <c r="E800" s="8" t="s">
        <v>2290</v>
      </c>
      <c r="F800" s="9" t="s">
        <v>808</v>
      </c>
      <c r="G800" s="8" t="s">
        <v>808</v>
      </c>
      <c r="H800" s="13" t="s">
        <v>56</v>
      </c>
      <c r="I800" s="14" t="s">
        <v>2291</v>
      </c>
      <c r="J800" s="10"/>
      <c r="K800" s="10"/>
      <c r="L800" s="10"/>
      <c r="M800" s="11" t="str">
        <f aca="false">IF(COUNTA(J800:L800)&lt;3,"",IF(COUNTIF(J800:L800,"유지")=3,"채택","제외"))</f>
        <v/>
      </c>
      <c r="N800" s="12"/>
    </row>
    <row r="801" customFormat="false" ht="15" hidden="false" customHeight="false" outlineLevel="0" collapsed="false">
      <c r="A801" s="7" t="n">
        <v>800</v>
      </c>
      <c r="B801" s="7" t="s">
        <v>1967</v>
      </c>
      <c r="C801" s="7" t="s">
        <v>2256</v>
      </c>
      <c r="D801" s="7" t="s">
        <v>2289</v>
      </c>
      <c r="E801" s="8" t="s">
        <v>2292</v>
      </c>
      <c r="F801" s="9" t="s">
        <v>2293</v>
      </c>
      <c r="G801" s="8" t="s">
        <v>2293</v>
      </c>
      <c r="H801" s="15"/>
      <c r="I801" s="15"/>
      <c r="J801" s="10"/>
      <c r="K801" s="10"/>
      <c r="L801" s="10"/>
      <c r="M801" s="11" t="str">
        <f aca="false">IF(COUNTA(J801:L801)&lt;3,"",IF(COUNTIF(J801:L801,"유지")=3,"채택","제외"))</f>
        <v/>
      </c>
      <c r="N801" s="12"/>
    </row>
    <row r="802" customFormat="false" ht="15" hidden="false" customHeight="false" outlineLevel="0" collapsed="false">
      <c r="A802" s="7" t="n">
        <v>801</v>
      </c>
      <c r="B802" s="7" t="s">
        <v>1967</v>
      </c>
      <c r="C802" s="7" t="s">
        <v>2256</v>
      </c>
      <c r="D802" s="7" t="s">
        <v>2294</v>
      </c>
      <c r="E802" s="8" t="s">
        <v>2295</v>
      </c>
      <c r="F802" s="9" t="s">
        <v>2296</v>
      </c>
      <c r="G802" s="8" t="s">
        <v>2296</v>
      </c>
      <c r="H802" s="15"/>
      <c r="I802" s="15"/>
      <c r="J802" s="10"/>
      <c r="K802" s="10"/>
      <c r="L802" s="10"/>
      <c r="M802" s="11" t="str">
        <f aca="false">IF(COUNTA(J802:L802)&lt;3,"",IF(COUNTIF(J802:L802,"유지")=3,"채택","제외"))</f>
        <v/>
      </c>
      <c r="N802" s="12"/>
    </row>
    <row r="803" customFormat="false" ht="29.85" hidden="false" customHeight="false" outlineLevel="0" collapsed="false">
      <c r="A803" s="7" t="n">
        <v>802</v>
      </c>
      <c r="B803" s="7" t="s">
        <v>1967</v>
      </c>
      <c r="C803" s="7" t="s">
        <v>2256</v>
      </c>
      <c r="D803" s="7" t="s">
        <v>2297</v>
      </c>
      <c r="E803" s="8" t="s">
        <v>2298</v>
      </c>
      <c r="F803" s="9" t="s">
        <v>2299</v>
      </c>
      <c r="G803" s="8" t="s">
        <v>2300</v>
      </c>
      <c r="H803" s="13" t="s">
        <v>74</v>
      </c>
      <c r="I803" s="14"/>
      <c r="J803" s="10"/>
      <c r="K803" s="10"/>
      <c r="L803" s="10"/>
      <c r="M803" s="11" t="str">
        <f aca="false">IF(COUNTA(J803:L803)&lt;3,"",IF(COUNTIF(J803:L803,"유지")=3,"채택","제외"))</f>
        <v/>
      </c>
      <c r="N803" s="12"/>
    </row>
    <row r="804" customFormat="false" ht="15" hidden="false" customHeight="false" outlineLevel="0" collapsed="false">
      <c r="A804" s="7" t="n">
        <v>803</v>
      </c>
      <c r="B804" s="7" t="s">
        <v>1967</v>
      </c>
      <c r="C804" s="7" t="s">
        <v>2256</v>
      </c>
      <c r="D804" s="7" t="s">
        <v>2301</v>
      </c>
      <c r="E804" s="8" t="s">
        <v>2302</v>
      </c>
      <c r="F804" s="9" t="s">
        <v>2303</v>
      </c>
      <c r="G804" s="8" t="s">
        <v>2004</v>
      </c>
      <c r="H804" s="13" t="s">
        <v>87</v>
      </c>
      <c r="I804" s="14"/>
      <c r="J804" s="10"/>
      <c r="K804" s="10"/>
      <c r="L804" s="10"/>
      <c r="M804" s="11" t="str">
        <f aca="false">IF(COUNTA(J804:L804)&lt;3,"",IF(COUNTIF(J804:L804,"유지")=3,"채택","제외"))</f>
        <v/>
      </c>
      <c r="N804" s="12"/>
    </row>
    <row r="805" customFormat="false" ht="15" hidden="false" customHeight="false" outlineLevel="0" collapsed="false">
      <c r="A805" s="7" t="n">
        <v>804</v>
      </c>
      <c r="B805" s="7" t="s">
        <v>1967</v>
      </c>
      <c r="C805" s="7" t="s">
        <v>2256</v>
      </c>
      <c r="D805" s="7" t="s">
        <v>2304</v>
      </c>
      <c r="E805" s="8" t="s">
        <v>2305</v>
      </c>
      <c r="F805" s="9" t="s">
        <v>2306</v>
      </c>
      <c r="G805" s="8" t="s">
        <v>2306</v>
      </c>
      <c r="H805" s="15"/>
      <c r="I805" s="15"/>
      <c r="J805" s="10"/>
      <c r="K805" s="10"/>
      <c r="L805" s="10"/>
      <c r="M805" s="11" t="str">
        <f aca="false">IF(COUNTA(J805:L805)&lt;3,"",IF(COUNTIF(J805:L805,"유지")=3,"채택","제외"))</f>
        <v/>
      </c>
      <c r="N805" s="12"/>
    </row>
    <row r="806" customFormat="false" ht="15" hidden="false" customHeight="false" outlineLevel="0" collapsed="false">
      <c r="A806" s="7" t="n">
        <v>805</v>
      </c>
      <c r="B806" s="7" t="s">
        <v>1967</v>
      </c>
      <c r="C806" s="7" t="s">
        <v>2256</v>
      </c>
      <c r="D806" s="7" t="s">
        <v>2307</v>
      </c>
      <c r="E806" s="8" t="s">
        <v>2308</v>
      </c>
      <c r="F806" s="9" t="s">
        <v>2309</v>
      </c>
      <c r="G806" s="8" t="s">
        <v>2309</v>
      </c>
      <c r="H806" s="15"/>
      <c r="I806" s="15"/>
      <c r="J806" s="10"/>
      <c r="K806" s="10"/>
      <c r="L806" s="10"/>
      <c r="M806" s="11" t="str">
        <f aca="false">IF(COUNTA(J806:L806)&lt;3,"",IF(COUNTIF(J806:L806,"유지")=3,"채택","제외"))</f>
        <v/>
      </c>
      <c r="N806" s="12"/>
    </row>
    <row r="807" customFormat="false" ht="15" hidden="false" customHeight="false" outlineLevel="0" collapsed="false">
      <c r="A807" s="7" t="n">
        <v>806</v>
      </c>
      <c r="B807" s="7" t="s">
        <v>1967</v>
      </c>
      <c r="C807" s="7" t="s">
        <v>2256</v>
      </c>
      <c r="D807" s="7" t="s">
        <v>2310</v>
      </c>
      <c r="E807" s="8" t="s">
        <v>2311</v>
      </c>
      <c r="F807" s="9" t="s">
        <v>2312</v>
      </c>
      <c r="G807" s="8" t="s">
        <v>2312</v>
      </c>
      <c r="H807" s="13" t="s">
        <v>87</v>
      </c>
      <c r="I807" s="14"/>
      <c r="J807" s="10"/>
      <c r="K807" s="10"/>
      <c r="L807" s="10"/>
      <c r="M807" s="11" t="str">
        <f aca="false">IF(COUNTA(J807:L807)&lt;3,"",IF(COUNTIF(J807:L807,"유지")=3,"채택","제외"))</f>
        <v/>
      </c>
      <c r="N807" s="12"/>
    </row>
    <row r="808" customFormat="false" ht="15" hidden="false" customHeight="false" outlineLevel="0" collapsed="false">
      <c r="A808" s="7" t="n">
        <v>807</v>
      </c>
      <c r="B808" s="7" t="s">
        <v>1967</v>
      </c>
      <c r="C808" s="7" t="s">
        <v>2256</v>
      </c>
      <c r="D808" s="7" t="s">
        <v>2313</v>
      </c>
      <c r="E808" s="8" t="s">
        <v>2314</v>
      </c>
      <c r="F808" s="9" t="s">
        <v>2315</v>
      </c>
      <c r="G808" s="8" t="s">
        <v>2315</v>
      </c>
      <c r="H808" s="13" t="s">
        <v>87</v>
      </c>
      <c r="I808" s="14"/>
      <c r="J808" s="10"/>
      <c r="K808" s="10"/>
      <c r="L808" s="10"/>
      <c r="M808" s="11" t="str">
        <f aca="false">IF(COUNTA(J808:L808)&lt;3,"",IF(COUNTIF(J808:L808,"유지")=3,"채택","제외"))</f>
        <v/>
      </c>
      <c r="N808" s="12"/>
    </row>
    <row r="809" customFormat="false" ht="15" hidden="false" customHeight="false" outlineLevel="0" collapsed="false">
      <c r="A809" s="7" t="n">
        <v>808</v>
      </c>
      <c r="B809" s="7" t="s">
        <v>1967</v>
      </c>
      <c r="C809" s="7" t="s">
        <v>2256</v>
      </c>
      <c r="D809" s="7" t="s">
        <v>2316</v>
      </c>
      <c r="E809" s="8" t="s">
        <v>2314</v>
      </c>
      <c r="F809" s="9" t="s">
        <v>2315</v>
      </c>
      <c r="G809" s="8" t="s">
        <v>2315</v>
      </c>
      <c r="H809" s="13" t="s">
        <v>87</v>
      </c>
      <c r="I809" s="14"/>
      <c r="J809" s="10"/>
      <c r="K809" s="10"/>
      <c r="L809" s="10"/>
      <c r="M809" s="11" t="str">
        <f aca="false">IF(COUNTA(J809:L809)&lt;3,"",IF(COUNTIF(J809:L809,"유지")=3,"채택","제외"))</f>
        <v/>
      </c>
      <c r="N809" s="12"/>
    </row>
    <row r="810" customFormat="false" ht="15" hidden="false" customHeight="false" outlineLevel="0" collapsed="false">
      <c r="A810" s="7" t="n">
        <v>809</v>
      </c>
      <c r="B810" s="7" t="s">
        <v>1967</v>
      </c>
      <c r="C810" s="7" t="s">
        <v>2256</v>
      </c>
      <c r="D810" s="7" t="s">
        <v>2317</v>
      </c>
      <c r="E810" s="8" t="s">
        <v>2318</v>
      </c>
      <c r="F810" s="9" t="s">
        <v>2319</v>
      </c>
      <c r="G810" s="8" t="s">
        <v>2320</v>
      </c>
      <c r="H810" s="15"/>
      <c r="I810" s="15"/>
      <c r="J810" s="10"/>
      <c r="K810" s="10"/>
      <c r="L810" s="10"/>
      <c r="M810" s="11" t="str">
        <f aca="false">IF(COUNTA(J810:L810)&lt;3,"",IF(COUNTIF(J810:L810,"유지")=3,"채택","제외"))</f>
        <v/>
      </c>
      <c r="N810" s="12"/>
    </row>
    <row r="811" customFormat="false" ht="15" hidden="false" customHeight="false" outlineLevel="0" collapsed="false">
      <c r="A811" s="7" t="n">
        <v>810</v>
      </c>
      <c r="B811" s="7" t="s">
        <v>1967</v>
      </c>
      <c r="C811" s="7" t="s">
        <v>2321</v>
      </c>
      <c r="D811" s="7" t="s">
        <v>2321</v>
      </c>
      <c r="E811" s="8" t="s">
        <v>2165</v>
      </c>
      <c r="F811" s="9" t="s">
        <v>2166</v>
      </c>
      <c r="G811" s="8" t="s">
        <v>2166</v>
      </c>
      <c r="H811" s="13" t="s">
        <v>87</v>
      </c>
      <c r="I811" s="14"/>
      <c r="J811" s="10"/>
      <c r="K811" s="10"/>
      <c r="L811" s="10"/>
      <c r="M811" s="11" t="str">
        <f aca="false">IF(COUNTA(J811:L811)&lt;3,"",IF(COUNTIF(J811:L811,"유지")=3,"채택","제외"))</f>
        <v/>
      </c>
      <c r="N811" s="12"/>
    </row>
    <row r="812" customFormat="false" ht="15" hidden="false" customHeight="false" outlineLevel="0" collapsed="false">
      <c r="A812" s="7" t="n">
        <v>811</v>
      </c>
      <c r="B812" s="7" t="s">
        <v>1967</v>
      </c>
      <c r="C812" s="7" t="s">
        <v>2321</v>
      </c>
      <c r="D812" s="7" t="s">
        <v>2321</v>
      </c>
      <c r="E812" s="8" t="s">
        <v>2322</v>
      </c>
      <c r="F812" s="9" t="s">
        <v>2323</v>
      </c>
      <c r="G812" s="8" t="s">
        <v>2323</v>
      </c>
      <c r="H812" s="13" t="s">
        <v>87</v>
      </c>
      <c r="I812" s="14"/>
      <c r="J812" s="10"/>
      <c r="K812" s="10"/>
      <c r="L812" s="10"/>
      <c r="M812" s="11" t="str">
        <f aca="false">IF(COUNTA(J812:L812)&lt;3,"",IF(COUNTIF(J812:L812,"유지")=3,"채택","제외"))</f>
        <v/>
      </c>
      <c r="N812" s="12"/>
    </row>
    <row r="813" customFormat="false" ht="15" hidden="false" customHeight="false" outlineLevel="0" collapsed="false">
      <c r="A813" s="7" t="n">
        <v>812</v>
      </c>
      <c r="B813" s="7" t="s">
        <v>1967</v>
      </c>
      <c r="C813" s="7" t="s">
        <v>2321</v>
      </c>
      <c r="D813" s="7" t="s">
        <v>2324</v>
      </c>
      <c r="E813" s="8" t="s">
        <v>2325</v>
      </c>
      <c r="F813" s="9" t="s">
        <v>2326</v>
      </c>
      <c r="G813" s="8" t="s">
        <v>2326</v>
      </c>
      <c r="H813" s="13" t="s">
        <v>87</v>
      </c>
      <c r="I813" s="14"/>
      <c r="J813" s="10"/>
      <c r="K813" s="10"/>
      <c r="L813" s="10"/>
      <c r="M813" s="11" t="str">
        <f aca="false">IF(COUNTA(J813:L813)&lt;3,"",IF(COUNTIF(J813:L813,"유지")=3,"채택","제외"))</f>
        <v/>
      </c>
      <c r="N813" s="12"/>
    </row>
    <row r="814" customFormat="false" ht="15" hidden="false" customHeight="false" outlineLevel="0" collapsed="false">
      <c r="A814" s="7" t="n">
        <v>813</v>
      </c>
      <c r="B814" s="7" t="s">
        <v>1967</v>
      </c>
      <c r="C814" s="7" t="s">
        <v>2321</v>
      </c>
      <c r="D814" s="7" t="s">
        <v>2327</v>
      </c>
      <c r="E814" s="8" t="s">
        <v>2328</v>
      </c>
      <c r="F814" s="9" t="s">
        <v>2329</v>
      </c>
      <c r="G814" s="8" t="s">
        <v>2330</v>
      </c>
      <c r="H814" s="15"/>
      <c r="I814" s="15"/>
      <c r="J814" s="10"/>
      <c r="K814" s="10"/>
      <c r="L814" s="10"/>
      <c r="M814" s="11" t="str">
        <f aca="false">IF(COUNTA(J814:L814)&lt;3,"",IF(COUNTIF(J814:L814,"유지")=3,"채택","제외"))</f>
        <v/>
      </c>
      <c r="N814" s="12"/>
    </row>
    <row r="815" customFormat="false" ht="15" hidden="false" customHeight="false" outlineLevel="0" collapsed="false">
      <c r="A815" s="7" t="n">
        <v>814</v>
      </c>
      <c r="B815" s="7" t="s">
        <v>1967</v>
      </c>
      <c r="C815" s="7" t="s">
        <v>2321</v>
      </c>
      <c r="D815" s="7" t="s">
        <v>2331</v>
      </c>
      <c r="E815" s="8" t="s">
        <v>2165</v>
      </c>
      <c r="F815" s="9" t="s">
        <v>2166</v>
      </c>
      <c r="G815" s="8" t="s">
        <v>2166</v>
      </c>
      <c r="H815" s="13" t="s">
        <v>87</v>
      </c>
      <c r="I815" s="14"/>
      <c r="J815" s="10"/>
      <c r="K815" s="10"/>
      <c r="L815" s="10"/>
      <c r="M815" s="11" t="str">
        <f aca="false">IF(COUNTA(J815:L815)&lt;3,"",IF(COUNTIF(J815:L815,"유지")=3,"채택","제외"))</f>
        <v/>
      </c>
      <c r="N815" s="12"/>
    </row>
    <row r="816" customFormat="false" ht="29.85" hidden="false" customHeight="false" outlineLevel="0" collapsed="false">
      <c r="A816" s="7" t="n">
        <v>815</v>
      </c>
      <c r="B816" s="7" t="s">
        <v>1967</v>
      </c>
      <c r="C816" s="7" t="s">
        <v>2321</v>
      </c>
      <c r="D816" s="7" t="s">
        <v>2332</v>
      </c>
      <c r="E816" s="8" t="s">
        <v>2333</v>
      </c>
      <c r="F816" s="9" t="s">
        <v>2334</v>
      </c>
      <c r="G816" s="8" t="s">
        <v>2335</v>
      </c>
      <c r="H816" s="13" t="s">
        <v>74</v>
      </c>
      <c r="I816" s="14"/>
      <c r="J816" s="10"/>
      <c r="K816" s="10"/>
      <c r="L816" s="10"/>
      <c r="M816" s="11" t="str">
        <f aca="false">IF(COUNTA(J816:L816)&lt;3,"",IF(COUNTIF(J816:L816,"유지")=3,"채택","제외"))</f>
        <v/>
      </c>
      <c r="N816" s="12"/>
    </row>
    <row r="817" customFormat="false" ht="15" hidden="false" customHeight="false" outlineLevel="0" collapsed="false">
      <c r="A817" s="7" t="n">
        <v>816</v>
      </c>
      <c r="B817" s="7" t="s">
        <v>1967</v>
      </c>
      <c r="C817" s="7" t="s">
        <v>2321</v>
      </c>
      <c r="D817" s="7" t="s">
        <v>2336</v>
      </c>
      <c r="E817" s="8" t="s">
        <v>2337</v>
      </c>
      <c r="F817" s="9" t="s">
        <v>2338</v>
      </c>
      <c r="G817" s="8" t="s">
        <v>2338</v>
      </c>
      <c r="H817" s="15"/>
      <c r="I817" s="15"/>
      <c r="J817" s="10"/>
      <c r="K817" s="10"/>
      <c r="L817" s="10"/>
      <c r="M817" s="11" t="str">
        <f aca="false">IF(COUNTA(J817:L817)&lt;3,"",IF(COUNTIF(J817:L817,"유지")=3,"채택","제외"))</f>
        <v/>
      </c>
      <c r="N817" s="12"/>
    </row>
    <row r="818" customFormat="false" ht="15" hidden="false" customHeight="false" outlineLevel="0" collapsed="false">
      <c r="A818" s="7" t="n">
        <v>817</v>
      </c>
      <c r="B818" s="7" t="s">
        <v>1967</v>
      </c>
      <c r="C818" s="7" t="s">
        <v>2321</v>
      </c>
      <c r="D818" s="7" t="s">
        <v>2339</v>
      </c>
      <c r="E818" s="8" t="s">
        <v>2340</v>
      </c>
      <c r="F818" s="9" t="s">
        <v>2341</v>
      </c>
      <c r="G818" s="8" t="s">
        <v>2342</v>
      </c>
      <c r="H818" s="13" t="s">
        <v>74</v>
      </c>
      <c r="I818" s="14"/>
      <c r="J818" s="10"/>
      <c r="K818" s="10"/>
      <c r="L818" s="10"/>
      <c r="M818" s="11" t="str">
        <f aca="false">IF(COUNTA(J818:L818)&lt;3,"",IF(COUNTIF(J818:L818,"유지")=3,"채택","제외"))</f>
        <v/>
      </c>
      <c r="N818" s="12"/>
    </row>
    <row r="819" customFormat="false" ht="15" hidden="false" customHeight="false" outlineLevel="0" collapsed="false">
      <c r="A819" s="7" t="n">
        <v>818</v>
      </c>
      <c r="B819" s="7" t="s">
        <v>1967</v>
      </c>
      <c r="C819" s="7" t="s">
        <v>2321</v>
      </c>
      <c r="D819" s="7" t="s">
        <v>2343</v>
      </c>
      <c r="E819" s="8" t="s">
        <v>2344</v>
      </c>
      <c r="F819" s="9" t="s">
        <v>2345</v>
      </c>
      <c r="G819" s="8" t="s">
        <v>2345</v>
      </c>
      <c r="H819" s="15"/>
      <c r="I819" s="15"/>
      <c r="J819" s="10"/>
      <c r="K819" s="10"/>
      <c r="L819" s="10"/>
      <c r="M819" s="11" t="str">
        <f aca="false">IF(COUNTA(J819:L819)&lt;3,"",IF(COUNTIF(J819:L819,"유지")=3,"채택","제외"))</f>
        <v/>
      </c>
      <c r="N819" s="12"/>
    </row>
    <row r="820" customFormat="false" ht="29.85" hidden="false" customHeight="false" outlineLevel="0" collapsed="false">
      <c r="A820" s="7" t="n">
        <v>819</v>
      </c>
      <c r="B820" s="7" t="s">
        <v>1967</v>
      </c>
      <c r="C820" s="7" t="s">
        <v>2321</v>
      </c>
      <c r="D820" s="7" t="s">
        <v>2346</v>
      </c>
      <c r="E820" s="8" t="s">
        <v>2347</v>
      </c>
      <c r="F820" s="9" t="s">
        <v>2348</v>
      </c>
      <c r="G820" s="8" t="s">
        <v>2348</v>
      </c>
      <c r="H820" s="14"/>
      <c r="I820" s="14" t="s">
        <v>2349</v>
      </c>
      <c r="J820" s="10"/>
      <c r="K820" s="10"/>
      <c r="L820" s="10"/>
      <c r="M820" s="11" t="str">
        <f aca="false">IF(COUNTA(J820:L820)&lt;3,"",IF(COUNTIF(J820:L820,"유지")=3,"채택","제외"))</f>
        <v/>
      </c>
      <c r="N820" s="12"/>
    </row>
    <row r="821" customFormat="false" ht="15" hidden="false" customHeight="false" outlineLevel="0" collapsed="false">
      <c r="A821" s="7" t="n">
        <v>820</v>
      </c>
      <c r="B821" s="7" t="s">
        <v>1967</v>
      </c>
      <c r="C821" s="7" t="s">
        <v>2321</v>
      </c>
      <c r="D821" s="7" t="s">
        <v>2350</v>
      </c>
      <c r="E821" s="8" t="s">
        <v>2311</v>
      </c>
      <c r="F821" s="9" t="s">
        <v>2312</v>
      </c>
      <c r="G821" s="8" t="s">
        <v>2312</v>
      </c>
      <c r="H821" s="13" t="s">
        <v>87</v>
      </c>
      <c r="I821" s="14"/>
      <c r="J821" s="10"/>
      <c r="K821" s="10"/>
      <c r="L821" s="10"/>
      <c r="M821" s="11" t="str">
        <f aca="false">IF(COUNTA(J821:L821)&lt;3,"",IF(COUNTIF(J821:L821,"유지")=3,"채택","제외"))</f>
        <v/>
      </c>
      <c r="N821" s="12"/>
    </row>
    <row r="822" customFormat="false" ht="15" hidden="false" customHeight="false" outlineLevel="0" collapsed="false">
      <c r="A822" s="7" t="n">
        <v>821</v>
      </c>
      <c r="B822" s="7" t="s">
        <v>1967</v>
      </c>
      <c r="C822" s="7" t="s">
        <v>2321</v>
      </c>
      <c r="D822" s="7" t="s">
        <v>2351</v>
      </c>
      <c r="E822" s="8" t="s">
        <v>526</v>
      </c>
      <c r="F822" s="9" t="s">
        <v>527</v>
      </c>
      <c r="G822" s="8" t="s">
        <v>527</v>
      </c>
      <c r="H822" s="13" t="s">
        <v>56</v>
      </c>
      <c r="I822" s="14" t="s">
        <v>528</v>
      </c>
      <c r="J822" s="10"/>
      <c r="K822" s="10"/>
      <c r="L822" s="10"/>
      <c r="M822" s="11" t="str">
        <f aca="false">IF(COUNTA(J822:L822)&lt;3,"",IF(COUNTIF(J822:L822,"유지")=3,"채택","제외"))</f>
        <v/>
      </c>
      <c r="N822" s="12"/>
    </row>
    <row r="823" customFormat="false" ht="15" hidden="false" customHeight="false" outlineLevel="0" collapsed="false">
      <c r="A823" s="7" t="n">
        <v>822</v>
      </c>
      <c r="B823" s="7" t="s">
        <v>1967</v>
      </c>
      <c r="C823" s="7" t="s">
        <v>2321</v>
      </c>
      <c r="D823" s="7" t="s">
        <v>2352</v>
      </c>
      <c r="E823" s="8" t="s">
        <v>2353</v>
      </c>
      <c r="F823" s="9" t="s">
        <v>2354</v>
      </c>
      <c r="G823" s="8" t="s">
        <v>2354</v>
      </c>
      <c r="H823" s="13" t="s">
        <v>87</v>
      </c>
      <c r="I823" s="14"/>
      <c r="J823" s="10"/>
      <c r="K823" s="10"/>
      <c r="L823" s="10"/>
      <c r="M823" s="11" t="str">
        <f aca="false">IF(COUNTA(J823:L823)&lt;3,"",IF(COUNTIF(J823:L823,"유지")=3,"채택","제외"))</f>
        <v/>
      </c>
      <c r="N823" s="12"/>
    </row>
    <row r="824" customFormat="false" ht="15" hidden="false" customHeight="false" outlineLevel="0" collapsed="false">
      <c r="A824" s="7" t="n">
        <v>823</v>
      </c>
      <c r="B824" s="7" t="s">
        <v>1967</v>
      </c>
      <c r="C824" s="7" t="s">
        <v>2321</v>
      </c>
      <c r="D824" s="7" t="s">
        <v>2355</v>
      </c>
      <c r="E824" s="8" t="s">
        <v>2356</v>
      </c>
      <c r="F824" s="9" t="s">
        <v>2357</v>
      </c>
      <c r="G824" s="8" t="s">
        <v>2357</v>
      </c>
      <c r="H824" s="15"/>
      <c r="I824" s="15"/>
      <c r="J824" s="10"/>
      <c r="K824" s="10"/>
      <c r="L824" s="10"/>
      <c r="M824" s="11" t="str">
        <f aca="false">IF(COUNTA(J824:L824)&lt;3,"",IF(COUNTIF(J824:L824,"유지")=3,"채택","제외"))</f>
        <v/>
      </c>
      <c r="N824" s="12"/>
    </row>
    <row r="825" customFormat="false" ht="15" hidden="false" customHeight="false" outlineLevel="0" collapsed="false">
      <c r="A825" s="7" t="n">
        <v>824</v>
      </c>
      <c r="B825" s="7" t="s">
        <v>1967</v>
      </c>
      <c r="C825" s="7" t="s">
        <v>2321</v>
      </c>
      <c r="D825" s="7" t="s">
        <v>2358</v>
      </c>
      <c r="E825" s="8" t="s">
        <v>2359</v>
      </c>
      <c r="F825" s="9" t="s">
        <v>2360</v>
      </c>
      <c r="G825" s="8" t="s">
        <v>2361</v>
      </c>
      <c r="H825" s="15"/>
      <c r="I825" s="15"/>
      <c r="J825" s="10"/>
      <c r="K825" s="10"/>
      <c r="L825" s="10"/>
      <c r="M825" s="11" t="str">
        <f aca="false">IF(COUNTA(J825:L825)&lt;3,"",IF(COUNTIF(J825:L825,"유지")=3,"채택","제외"))</f>
        <v/>
      </c>
      <c r="N825" s="12"/>
    </row>
    <row r="826" customFormat="false" ht="15" hidden="false" customHeight="false" outlineLevel="0" collapsed="false">
      <c r="A826" s="7" t="n">
        <v>825</v>
      </c>
      <c r="B826" s="7" t="s">
        <v>1967</v>
      </c>
      <c r="C826" s="7" t="s">
        <v>2321</v>
      </c>
      <c r="D826" s="7" t="s">
        <v>2362</v>
      </c>
      <c r="E826" s="8" t="s">
        <v>2036</v>
      </c>
      <c r="F826" s="9" t="s">
        <v>2037</v>
      </c>
      <c r="G826" s="8" t="s">
        <v>2037</v>
      </c>
      <c r="H826" s="13" t="s">
        <v>87</v>
      </c>
      <c r="I826" s="14"/>
      <c r="J826" s="10"/>
      <c r="K826" s="10"/>
      <c r="L826" s="10"/>
      <c r="M826" s="11" t="str">
        <f aca="false">IF(COUNTA(J826:L826)&lt;3,"",IF(COUNTIF(J826:L826,"유지")=3,"채택","제외"))</f>
        <v/>
      </c>
      <c r="N826" s="12"/>
    </row>
    <row r="827" customFormat="false" ht="15" hidden="false" customHeight="false" outlineLevel="0" collapsed="false">
      <c r="A827" s="7" t="n">
        <v>826</v>
      </c>
      <c r="B827" s="7" t="s">
        <v>1967</v>
      </c>
      <c r="C827" s="7" t="s">
        <v>2321</v>
      </c>
      <c r="D827" s="7" t="s">
        <v>2363</v>
      </c>
      <c r="E827" s="8" t="s">
        <v>2353</v>
      </c>
      <c r="F827" s="9" t="s">
        <v>2354</v>
      </c>
      <c r="G827" s="8" t="s">
        <v>2354</v>
      </c>
      <c r="H827" s="13" t="s">
        <v>87</v>
      </c>
      <c r="I827" s="14"/>
      <c r="J827" s="10"/>
      <c r="K827" s="10"/>
      <c r="L827" s="10"/>
      <c r="M827" s="11" t="str">
        <f aca="false">IF(COUNTA(J827:L827)&lt;3,"",IF(COUNTIF(J827:L827,"유지")=3,"채택","제외"))</f>
        <v/>
      </c>
      <c r="N827" s="12"/>
    </row>
    <row r="828" customFormat="false" ht="15" hidden="false" customHeight="false" outlineLevel="0" collapsed="false">
      <c r="A828" s="7" t="n">
        <v>827</v>
      </c>
      <c r="B828" s="7" t="s">
        <v>1967</v>
      </c>
      <c r="C828" s="7" t="s">
        <v>2321</v>
      </c>
      <c r="D828" s="7" t="s">
        <v>2364</v>
      </c>
      <c r="E828" s="8" t="s">
        <v>2365</v>
      </c>
      <c r="F828" s="9" t="s">
        <v>2366</v>
      </c>
      <c r="G828" s="8" t="s">
        <v>2366</v>
      </c>
      <c r="H828" s="15"/>
      <c r="I828" s="15"/>
      <c r="J828" s="10"/>
      <c r="K828" s="10"/>
      <c r="L828" s="10"/>
      <c r="M828" s="11" t="str">
        <f aca="false">IF(COUNTA(J828:L828)&lt;3,"",IF(COUNTIF(J828:L828,"유지")=3,"채택","제외"))</f>
        <v/>
      </c>
      <c r="N828" s="12"/>
    </row>
    <row r="829" customFormat="false" ht="15" hidden="false" customHeight="false" outlineLevel="0" collapsed="false">
      <c r="A829" s="7" t="n">
        <v>828</v>
      </c>
      <c r="B829" s="7" t="s">
        <v>1967</v>
      </c>
      <c r="C829" s="7" t="s">
        <v>2321</v>
      </c>
      <c r="D829" s="7" t="s">
        <v>2367</v>
      </c>
      <c r="E829" s="8" t="s">
        <v>2368</v>
      </c>
      <c r="F829" s="9" t="s">
        <v>2369</v>
      </c>
      <c r="G829" s="8" t="s">
        <v>2369</v>
      </c>
      <c r="H829" s="15"/>
      <c r="I829" s="15"/>
      <c r="J829" s="10"/>
      <c r="K829" s="10"/>
      <c r="L829" s="10"/>
      <c r="M829" s="11" t="str">
        <f aca="false">IF(COUNTA(J829:L829)&lt;3,"",IF(COUNTIF(J829:L829,"유지")=3,"채택","제외"))</f>
        <v/>
      </c>
      <c r="N829" s="12"/>
    </row>
    <row r="830" customFormat="false" ht="15" hidden="false" customHeight="false" outlineLevel="0" collapsed="false">
      <c r="A830" s="7" t="n">
        <v>829</v>
      </c>
      <c r="B830" s="7" t="s">
        <v>1967</v>
      </c>
      <c r="C830" s="7" t="s">
        <v>2321</v>
      </c>
      <c r="D830" s="7" t="s">
        <v>2370</v>
      </c>
      <c r="E830" s="8" t="s">
        <v>2371</v>
      </c>
      <c r="F830" s="9" t="s">
        <v>2372</v>
      </c>
      <c r="G830" s="8" t="s">
        <v>2372</v>
      </c>
      <c r="H830" s="15"/>
      <c r="I830" s="15"/>
      <c r="J830" s="10"/>
      <c r="K830" s="10"/>
      <c r="L830" s="10"/>
      <c r="M830" s="11" t="str">
        <f aca="false">IF(COUNTA(J830:L830)&lt;3,"",IF(COUNTIF(J830:L830,"유지")=3,"채택","제외"))</f>
        <v/>
      </c>
      <c r="N830" s="12"/>
    </row>
    <row r="831" customFormat="false" ht="15" hidden="false" customHeight="false" outlineLevel="0" collapsed="false">
      <c r="A831" s="7" t="n">
        <v>830</v>
      </c>
      <c r="B831" s="7" t="s">
        <v>1967</v>
      </c>
      <c r="C831" s="7" t="s">
        <v>2321</v>
      </c>
      <c r="D831" s="7" t="s">
        <v>2373</v>
      </c>
      <c r="E831" s="8" t="s">
        <v>2311</v>
      </c>
      <c r="F831" s="9" t="s">
        <v>2312</v>
      </c>
      <c r="G831" s="8" t="s">
        <v>2312</v>
      </c>
      <c r="H831" s="13" t="s">
        <v>87</v>
      </c>
      <c r="I831" s="14"/>
      <c r="J831" s="10"/>
      <c r="K831" s="10"/>
      <c r="L831" s="10"/>
      <c r="M831" s="11" t="str">
        <f aca="false">IF(COUNTA(J831:L831)&lt;3,"",IF(COUNTIF(J831:L831,"유지")=3,"채택","제외"))</f>
        <v/>
      </c>
      <c r="N831" s="12"/>
    </row>
    <row r="832" customFormat="false" ht="15" hidden="false" customHeight="false" outlineLevel="0" collapsed="false">
      <c r="A832" s="7" t="n">
        <v>831</v>
      </c>
      <c r="B832" s="7" t="s">
        <v>1967</v>
      </c>
      <c r="C832" s="7" t="s">
        <v>2321</v>
      </c>
      <c r="D832" s="7" t="s">
        <v>2374</v>
      </c>
      <c r="E832" s="8" t="s">
        <v>2375</v>
      </c>
      <c r="F832" s="9" t="s">
        <v>2376</v>
      </c>
      <c r="G832" s="8" t="s">
        <v>2376</v>
      </c>
      <c r="H832" s="15"/>
      <c r="I832" s="15"/>
      <c r="J832" s="10"/>
      <c r="K832" s="10"/>
      <c r="L832" s="10"/>
      <c r="M832" s="11" t="str">
        <f aca="false">IF(COUNTA(J832:L832)&lt;3,"",IF(COUNTIF(J832:L832,"유지")=3,"채택","제외"))</f>
        <v/>
      </c>
      <c r="N832" s="12"/>
    </row>
    <row r="833" customFormat="false" ht="15" hidden="false" customHeight="false" outlineLevel="0" collapsed="false">
      <c r="A833" s="7" t="n">
        <v>832</v>
      </c>
      <c r="B833" s="7" t="s">
        <v>1967</v>
      </c>
      <c r="C833" s="7" t="s">
        <v>2321</v>
      </c>
      <c r="D833" s="7" t="s">
        <v>2377</v>
      </c>
      <c r="E833" s="8" t="s">
        <v>2378</v>
      </c>
      <c r="F833" s="9" t="s">
        <v>2379</v>
      </c>
      <c r="G833" s="8" t="s">
        <v>2379</v>
      </c>
      <c r="H833" s="14" t="s">
        <v>500</v>
      </c>
      <c r="I833" s="14" t="s">
        <v>2380</v>
      </c>
      <c r="J833" s="10"/>
      <c r="K833" s="10"/>
      <c r="L833" s="10"/>
      <c r="M833" s="11" t="str">
        <f aca="false">IF(COUNTA(J833:L833)&lt;3,"",IF(COUNTIF(J833:L833,"유지")=3,"채택","제외"))</f>
        <v/>
      </c>
      <c r="N833" s="12"/>
    </row>
    <row r="834" customFormat="false" ht="15" hidden="false" customHeight="false" outlineLevel="0" collapsed="false">
      <c r="A834" s="7" t="n">
        <v>833</v>
      </c>
      <c r="B834" s="7" t="s">
        <v>1967</v>
      </c>
      <c r="C834" s="7" t="s">
        <v>2321</v>
      </c>
      <c r="D834" s="7" t="s">
        <v>2381</v>
      </c>
      <c r="E834" s="8" t="s">
        <v>2165</v>
      </c>
      <c r="F834" s="9" t="s">
        <v>2166</v>
      </c>
      <c r="G834" s="8" t="s">
        <v>2166</v>
      </c>
      <c r="H834" s="13" t="s">
        <v>87</v>
      </c>
      <c r="I834" s="14"/>
      <c r="J834" s="10"/>
      <c r="K834" s="10"/>
      <c r="L834" s="10"/>
      <c r="M834" s="11" t="str">
        <f aca="false">IF(COUNTA(J834:L834)&lt;3,"",IF(COUNTIF(J834:L834,"유지")=3,"채택","제외"))</f>
        <v/>
      </c>
      <c r="N834" s="12"/>
    </row>
    <row r="835" customFormat="false" ht="15" hidden="false" customHeight="false" outlineLevel="0" collapsed="false">
      <c r="A835" s="7" t="n">
        <v>834</v>
      </c>
      <c r="B835" s="7" t="s">
        <v>1967</v>
      </c>
      <c r="C835" s="7" t="s">
        <v>2321</v>
      </c>
      <c r="D835" s="7" t="s">
        <v>2382</v>
      </c>
      <c r="E835" s="8" t="s">
        <v>2322</v>
      </c>
      <c r="F835" s="9" t="s">
        <v>2323</v>
      </c>
      <c r="G835" s="8" t="s">
        <v>2323</v>
      </c>
      <c r="H835" s="13" t="s">
        <v>87</v>
      </c>
      <c r="I835" s="14"/>
      <c r="J835" s="10"/>
      <c r="K835" s="10"/>
      <c r="L835" s="10"/>
      <c r="M835" s="11" t="str">
        <f aca="false">IF(COUNTA(J835:L835)&lt;3,"",IF(COUNTIF(J835:L835,"유지")=3,"채택","제외"))</f>
        <v/>
      </c>
      <c r="N835" s="12"/>
    </row>
    <row r="836" customFormat="false" ht="15" hidden="false" customHeight="false" outlineLevel="0" collapsed="false">
      <c r="A836" s="7" t="n">
        <v>835</v>
      </c>
      <c r="B836" s="7" t="s">
        <v>1967</v>
      </c>
      <c r="C836" s="7" t="s">
        <v>2321</v>
      </c>
      <c r="D836" s="7" t="s">
        <v>2382</v>
      </c>
      <c r="E836" s="8" t="s">
        <v>2383</v>
      </c>
      <c r="F836" s="9" t="s">
        <v>2384</v>
      </c>
      <c r="G836" s="8" t="s">
        <v>2384</v>
      </c>
      <c r="H836" s="15"/>
      <c r="I836" s="15"/>
      <c r="J836" s="10"/>
      <c r="K836" s="10"/>
      <c r="L836" s="10"/>
      <c r="M836" s="11" t="str">
        <f aca="false">IF(COUNTA(J836:L836)&lt;3,"",IF(COUNTIF(J836:L836,"유지")=3,"채택","제외"))</f>
        <v/>
      </c>
      <c r="N836" s="12"/>
    </row>
    <row r="837" customFormat="false" ht="15" hidden="false" customHeight="false" outlineLevel="0" collapsed="false">
      <c r="A837" s="7" t="n">
        <v>836</v>
      </c>
      <c r="B837" s="7" t="s">
        <v>1967</v>
      </c>
      <c r="C837" s="7" t="s">
        <v>2321</v>
      </c>
      <c r="D837" s="7" t="s">
        <v>2385</v>
      </c>
      <c r="E837" s="8" t="s">
        <v>2386</v>
      </c>
      <c r="F837" s="9" t="s">
        <v>2387</v>
      </c>
      <c r="G837" s="8" t="s">
        <v>2387</v>
      </c>
      <c r="H837" s="15"/>
      <c r="I837" s="15"/>
      <c r="J837" s="10"/>
      <c r="K837" s="10"/>
      <c r="L837" s="10"/>
      <c r="M837" s="11" t="str">
        <f aca="false">IF(COUNTA(J837:L837)&lt;3,"",IF(COUNTIF(J837:L837,"유지")=3,"채택","제외"))</f>
        <v/>
      </c>
      <c r="N837" s="12"/>
    </row>
    <row r="838" customFormat="false" ht="15" hidden="false" customHeight="false" outlineLevel="0" collapsed="false">
      <c r="A838" s="7" t="n">
        <v>837</v>
      </c>
      <c r="B838" s="7" t="s">
        <v>1967</v>
      </c>
      <c r="C838" s="7" t="s">
        <v>2321</v>
      </c>
      <c r="D838" s="7" t="s">
        <v>2388</v>
      </c>
      <c r="E838" s="8" t="s">
        <v>2389</v>
      </c>
      <c r="F838" s="9" t="s">
        <v>2390</v>
      </c>
      <c r="G838" s="8" t="s">
        <v>2391</v>
      </c>
      <c r="H838" s="15"/>
      <c r="I838" s="15"/>
      <c r="J838" s="10"/>
      <c r="K838" s="10"/>
      <c r="L838" s="10"/>
      <c r="M838" s="11" t="str">
        <f aca="false">IF(COUNTA(J838:L838)&lt;3,"",IF(COUNTIF(J838:L838,"유지")=3,"채택","제외"))</f>
        <v/>
      </c>
      <c r="N838" s="12"/>
    </row>
    <row r="839" customFormat="false" ht="15" hidden="false" customHeight="false" outlineLevel="0" collapsed="false">
      <c r="A839" s="7" t="n">
        <v>838</v>
      </c>
      <c r="B839" s="7" t="s">
        <v>1967</v>
      </c>
      <c r="C839" s="7" t="s">
        <v>2321</v>
      </c>
      <c r="D839" s="7" t="s">
        <v>2392</v>
      </c>
      <c r="E839" s="8" t="s">
        <v>2325</v>
      </c>
      <c r="F839" s="9" t="s">
        <v>2326</v>
      </c>
      <c r="G839" s="8" t="s">
        <v>2326</v>
      </c>
      <c r="H839" s="13" t="s">
        <v>87</v>
      </c>
      <c r="I839" s="14"/>
      <c r="J839" s="10"/>
      <c r="K839" s="10"/>
      <c r="L839" s="10"/>
      <c r="M839" s="11" t="str">
        <f aca="false">IF(COUNTA(J839:L839)&lt;3,"",IF(COUNTIF(J839:L839,"유지")=3,"채택","제외"))</f>
        <v/>
      </c>
      <c r="N839" s="12"/>
    </row>
    <row r="840" customFormat="false" ht="15" hidden="false" customHeight="false" outlineLevel="0" collapsed="false">
      <c r="A840" s="7" t="n">
        <v>839</v>
      </c>
      <c r="B840" s="7" t="s">
        <v>1967</v>
      </c>
      <c r="C840" s="7" t="s">
        <v>2321</v>
      </c>
      <c r="D840" s="7" t="s">
        <v>2393</v>
      </c>
      <c r="E840" s="8" t="s">
        <v>2394</v>
      </c>
      <c r="F840" s="9" t="s">
        <v>2395</v>
      </c>
      <c r="G840" s="8" t="s">
        <v>2395</v>
      </c>
      <c r="H840" s="14"/>
      <c r="I840" s="14" t="s">
        <v>2396</v>
      </c>
      <c r="J840" s="10"/>
      <c r="K840" s="10"/>
      <c r="L840" s="10"/>
      <c r="M840" s="11" t="str">
        <f aca="false">IF(COUNTA(J840:L840)&lt;3,"",IF(COUNTIF(J840:L840,"유지")=3,"채택","제외"))</f>
        <v/>
      </c>
      <c r="N840" s="12"/>
    </row>
    <row r="841" customFormat="false" ht="15" hidden="false" customHeight="false" outlineLevel="0" collapsed="false">
      <c r="A841" s="7" t="n">
        <v>840</v>
      </c>
      <c r="B841" s="7" t="s">
        <v>1967</v>
      </c>
      <c r="C841" s="7" t="s">
        <v>2321</v>
      </c>
      <c r="D841" s="7" t="s">
        <v>2397</v>
      </c>
      <c r="E841" s="8" t="s">
        <v>2398</v>
      </c>
      <c r="F841" s="9" t="s">
        <v>2399</v>
      </c>
      <c r="G841" s="8" t="s">
        <v>2399</v>
      </c>
      <c r="H841" s="15"/>
      <c r="I841" s="15"/>
      <c r="J841" s="10"/>
      <c r="K841" s="10"/>
      <c r="L841" s="10"/>
      <c r="M841" s="11" t="str">
        <f aca="false">IF(COUNTA(J841:L841)&lt;3,"",IF(COUNTIF(J841:L841,"유지")=3,"채택","제외"))</f>
        <v/>
      </c>
      <c r="N841" s="12"/>
    </row>
    <row r="842" customFormat="false" ht="15" hidden="false" customHeight="false" outlineLevel="0" collapsed="false">
      <c r="A842" s="7" t="n">
        <v>841</v>
      </c>
      <c r="B842" s="7" t="s">
        <v>1967</v>
      </c>
      <c r="C842" s="7" t="s">
        <v>2321</v>
      </c>
      <c r="D842" s="7" t="s">
        <v>2400</v>
      </c>
      <c r="E842" s="8" t="s">
        <v>2165</v>
      </c>
      <c r="F842" s="9" t="s">
        <v>2166</v>
      </c>
      <c r="G842" s="8" t="s">
        <v>2166</v>
      </c>
      <c r="H842" s="13" t="s">
        <v>87</v>
      </c>
      <c r="I842" s="14"/>
      <c r="J842" s="10"/>
      <c r="K842" s="10"/>
      <c r="L842" s="10"/>
      <c r="M842" s="11" t="str">
        <f aca="false">IF(COUNTA(J842:L842)&lt;3,"",IF(COUNTIF(J842:L842,"유지")=3,"채택","제외"))</f>
        <v/>
      </c>
      <c r="N842" s="12"/>
    </row>
    <row r="843" customFormat="false" ht="15" hidden="false" customHeight="false" outlineLevel="0" collapsed="false">
      <c r="A843" s="7" t="n">
        <v>842</v>
      </c>
      <c r="B843" s="7" t="s">
        <v>1967</v>
      </c>
      <c r="C843" s="7" t="s">
        <v>2401</v>
      </c>
      <c r="D843" s="7" t="s">
        <v>2401</v>
      </c>
      <c r="E843" s="8" t="s">
        <v>2402</v>
      </c>
      <c r="F843" s="9" t="s">
        <v>2403</v>
      </c>
      <c r="G843" s="8" t="s">
        <v>2403</v>
      </c>
      <c r="H843" s="13" t="s">
        <v>74</v>
      </c>
      <c r="I843" s="14"/>
      <c r="J843" s="10"/>
      <c r="K843" s="10"/>
      <c r="L843" s="10"/>
      <c r="M843" s="11" t="str">
        <f aca="false">IF(COUNTA(J843:L843)&lt;3,"",IF(COUNTIF(J843:L843,"유지")=3,"채택","제외"))</f>
        <v/>
      </c>
      <c r="N843" s="12"/>
    </row>
    <row r="844" customFormat="false" ht="15" hidden="false" customHeight="false" outlineLevel="0" collapsed="false">
      <c r="A844" s="7" t="n">
        <v>843</v>
      </c>
      <c r="B844" s="7" t="s">
        <v>1967</v>
      </c>
      <c r="C844" s="7" t="s">
        <v>2401</v>
      </c>
      <c r="D844" s="7" t="s">
        <v>2404</v>
      </c>
      <c r="E844" s="8" t="s">
        <v>2405</v>
      </c>
      <c r="F844" s="9" t="s">
        <v>2406</v>
      </c>
      <c r="G844" s="8" t="s">
        <v>2407</v>
      </c>
      <c r="H844" s="14" t="s">
        <v>500</v>
      </c>
      <c r="I844" s="14"/>
      <c r="J844" s="10"/>
      <c r="K844" s="10"/>
      <c r="L844" s="10"/>
      <c r="M844" s="11" t="str">
        <f aca="false">IF(COUNTA(J844:L844)&lt;3,"",IF(COUNTIF(J844:L844,"유지")=3,"채택","제외"))</f>
        <v/>
      </c>
      <c r="N844" s="12"/>
    </row>
    <row r="845" customFormat="false" ht="15" hidden="false" customHeight="false" outlineLevel="0" collapsed="false">
      <c r="A845" s="7" t="n">
        <v>844</v>
      </c>
      <c r="B845" s="7" t="s">
        <v>1967</v>
      </c>
      <c r="C845" s="7" t="s">
        <v>2401</v>
      </c>
      <c r="D845" s="7" t="s">
        <v>2404</v>
      </c>
      <c r="E845" s="8" t="s">
        <v>2408</v>
      </c>
      <c r="F845" s="9" t="s">
        <v>2409</v>
      </c>
      <c r="G845" s="8" t="s">
        <v>2409</v>
      </c>
      <c r="H845" s="14" t="s">
        <v>500</v>
      </c>
      <c r="I845" s="14" t="s">
        <v>2410</v>
      </c>
      <c r="J845" s="10"/>
      <c r="K845" s="10"/>
      <c r="L845" s="10"/>
      <c r="M845" s="11" t="str">
        <f aca="false">IF(COUNTA(J845:L845)&lt;3,"",IF(COUNTIF(J845:L845,"유지")=3,"채택","제외"))</f>
        <v/>
      </c>
      <c r="N845" s="12"/>
    </row>
    <row r="846" customFormat="false" ht="15" hidden="false" customHeight="false" outlineLevel="0" collapsed="false">
      <c r="A846" s="7" t="n">
        <v>845</v>
      </c>
      <c r="B846" s="7" t="s">
        <v>1967</v>
      </c>
      <c r="C846" s="7" t="s">
        <v>2401</v>
      </c>
      <c r="D846" s="7" t="s">
        <v>2411</v>
      </c>
      <c r="E846" s="8" t="s">
        <v>2412</v>
      </c>
      <c r="F846" s="9" t="s">
        <v>2413</v>
      </c>
      <c r="G846" s="8" t="s">
        <v>2413</v>
      </c>
      <c r="H846" s="15"/>
      <c r="I846" s="15"/>
      <c r="J846" s="10"/>
      <c r="K846" s="10"/>
      <c r="L846" s="10"/>
      <c r="M846" s="11" t="str">
        <f aca="false">IF(COUNTA(J846:L846)&lt;3,"",IF(COUNTIF(J846:L846,"유지")=3,"채택","제외"))</f>
        <v/>
      </c>
      <c r="N846" s="12"/>
    </row>
    <row r="847" customFormat="false" ht="15" hidden="false" customHeight="false" outlineLevel="0" collapsed="false">
      <c r="A847" s="7" t="n">
        <v>846</v>
      </c>
      <c r="B847" s="7" t="s">
        <v>1967</v>
      </c>
      <c r="C847" s="7" t="s">
        <v>2401</v>
      </c>
      <c r="D847" s="7" t="s">
        <v>2414</v>
      </c>
      <c r="E847" s="8" t="s">
        <v>67</v>
      </c>
      <c r="F847" s="9" t="s">
        <v>68</v>
      </c>
      <c r="G847" s="8" t="s">
        <v>68</v>
      </c>
      <c r="H847" s="13" t="s">
        <v>56</v>
      </c>
      <c r="I847" s="14" t="s">
        <v>69</v>
      </c>
      <c r="J847" s="10"/>
      <c r="K847" s="10"/>
      <c r="L847" s="10"/>
      <c r="M847" s="11" t="str">
        <f aca="false">IF(COUNTA(J847:L847)&lt;3,"",IF(COUNTIF(J847:L847,"유지")=3,"채택","제외"))</f>
        <v/>
      </c>
      <c r="N847" s="12"/>
    </row>
    <row r="848" customFormat="false" ht="15" hidden="false" customHeight="false" outlineLevel="0" collapsed="false">
      <c r="A848" s="7" t="n">
        <v>847</v>
      </c>
      <c r="B848" s="7" t="s">
        <v>1967</v>
      </c>
      <c r="C848" s="7" t="s">
        <v>2401</v>
      </c>
      <c r="D848" s="7" t="s">
        <v>2415</v>
      </c>
      <c r="E848" s="8" t="s">
        <v>2416</v>
      </c>
      <c r="F848" s="9" t="s">
        <v>2417</v>
      </c>
      <c r="G848" s="8" t="s">
        <v>2418</v>
      </c>
      <c r="H848" s="15"/>
      <c r="I848" s="15"/>
      <c r="J848" s="10"/>
      <c r="K848" s="10"/>
      <c r="L848" s="10"/>
      <c r="M848" s="11" t="str">
        <f aca="false">IF(COUNTA(J848:L848)&lt;3,"",IF(COUNTIF(J848:L848,"유지")=3,"채택","제외"))</f>
        <v/>
      </c>
      <c r="N848" s="12"/>
    </row>
    <row r="849" customFormat="false" ht="15" hidden="false" customHeight="false" outlineLevel="0" collapsed="false">
      <c r="A849" s="7" t="n">
        <v>848</v>
      </c>
      <c r="B849" s="7" t="s">
        <v>1967</v>
      </c>
      <c r="C849" s="7" t="s">
        <v>2401</v>
      </c>
      <c r="D849" s="7" t="s">
        <v>2419</v>
      </c>
      <c r="E849" s="8" t="s">
        <v>2420</v>
      </c>
      <c r="F849" s="9" t="s">
        <v>2421</v>
      </c>
      <c r="G849" s="8" t="s">
        <v>2421</v>
      </c>
      <c r="H849" s="15"/>
      <c r="I849" s="15"/>
      <c r="J849" s="10"/>
      <c r="K849" s="10"/>
      <c r="L849" s="10"/>
      <c r="M849" s="11" t="str">
        <f aca="false">IF(COUNTA(J849:L849)&lt;3,"",IF(COUNTIF(J849:L849,"유지")=3,"채택","제외"))</f>
        <v/>
      </c>
      <c r="N849" s="12"/>
    </row>
    <row r="850" customFormat="false" ht="15" hidden="false" customHeight="false" outlineLevel="0" collapsed="false">
      <c r="A850" s="7" t="n">
        <v>849</v>
      </c>
      <c r="B850" s="7" t="s">
        <v>1967</v>
      </c>
      <c r="C850" s="7" t="s">
        <v>2401</v>
      </c>
      <c r="D850" s="7" t="s">
        <v>2422</v>
      </c>
      <c r="E850" s="8" t="s">
        <v>2423</v>
      </c>
      <c r="F850" s="9" t="s">
        <v>2424</v>
      </c>
      <c r="G850" s="8" t="s">
        <v>2424</v>
      </c>
      <c r="H850" s="15"/>
      <c r="I850" s="15"/>
      <c r="J850" s="10"/>
      <c r="K850" s="10"/>
      <c r="L850" s="10"/>
      <c r="M850" s="11" t="str">
        <f aca="false">IF(COUNTA(J850:L850)&lt;3,"",IF(COUNTIF(J850:L850,"유지")=3,"채택","제외"))</f>
        <v/>
      </c>
      <c r="N850" s="12"/>
    </row>
    <row r="851" customFormat="false" ht="15" hidden="false" customHeight="false" outlineLevel="0" collapsed="false">
      <c r="A851" s="7" t="n">
        <v>850</v>
      </c>
      <c r="B851" s="7" t="s">
        <v>1967</v>
      </c>
      <c r="C851" s="7" t="s">
        <v>2401</v>
      </c>
      <c r="D851" s="7" t="s">
        <v>2425</v>
      </c>
      <c r="E851" s="8" t="s">
        <v>2426</v>
      </c>
      <c r="F851" s="9" t="s">
        <v>2427</v>
      </c>
      <c r="G851" s="8" t="s">
        <v>2428</v>
      </c>
      <c r="H851" s="15"/>
      <c r="I851" s="15"/>
      <c r="J851" s="10"/>
      <c r="K851" s="10"/>
      <c r="L851" s="10"/>
      <c r="M851" s="11" t="str">
        <f aca="false">IF(COUNTA(J851:L851)&lt;3,"",IF(COUNTIF(J851:L851,"유지")=3,"채택","제외"))</f>
        <v/>
      </c>
      <c r="N851" s="12"/>
    </row>
    <row r="852" customFormat="false" ht="15" hidden="false" customHeight="false" outlineLevel="0" collapsed="false">
      <c r="A852" s="7" t="n">
        <v>851</v>
      </c>
      <c r="B852" s="7" t="s">
        <v>1967</v>
      </c>
      <c r="C852" s="7" t="s">
        <v>2401</v>
      </c>
      <c r="D852" s="7" t="s">
        <v>2429</v>
      </c>
      <c r="E852" s="8" t="s">
        <v>2430</v>
      </c>
      <c r="F852" s="9" t="s">
        <v>2431</v>
      </c>
      <c r="G852" s="8" t="s">
        <v>2431</v>
      </c>
      <c r="H852" s="13" t="s">
        <v>87</v>
      </c>
      <c r="I852" s="14"/>
      <c r="J852" s="10"/>
      <c r="K852" s="10"/>
      <c r="L852" s="10"/>
      <c r="M852" s="11" t="str">
        <f aca="false">IF(COUNTA(J852:L852)&lt;3,"",IF(COUNTIF(J852:L852,"유지")=3,"채택","제외"))</f>
        <v/>
      </c>
      <c r="N852" s="12"/>
    </row>
    <row r="853" customFormat="false" ht="15" hidden="false" customHeight="false" outlineLevel="0" collapsed="false">
      <c r="A853" s="7" t="n">
        <v>852</v>
      </c>
      <c r="B853" s="7" t="s">
        <v>1967</v>
      </c>
      <c r="C853" s="7" t="s">
        <v>2401</v>
      </c>
      <c r="D853" s="7" t="s">
        <v>2432</v>
      </c>
      <c r="E853" s="8" t="s">
        <v>2433</v>
      </c>
      <c r="F853" s="9" t="s">
        <v>2434</v>
      </c>
      <c r="G853" s="8" t="s">
        <v>2434</v>
      </c>
      <c r="H853" s="15"/>
      <c r="I853" s="15"/>
      <c r="J853" s="10"/>
      <c r="K853" s="10"/>
      <c r="L853" s="10"/>
      <c r="M853" s="11" t="str">
        <f aca="false">IF(COUNTA(J853:L853)&lt;3,"",IF(COUNTIF(J853:L853,"유지")=3,"채택","제외"))</f>
        <v/>
      </c>
      <c r="N853" s="12"/>
    </row>
    <row r="854" customFormat="false" ht="15" hidden="false" customHeight="false" outlineLevel="0" collapsed="false">
      <c r="A854" s="7" t="n">
        <v>853</v>
      </c>
      <c r="B854" s="7" t="s">
        <v>1967</v>
      </c>
      <c r="C854" s="7" t="s">
        <v>2401</v>
      </c>
      <c r="D854" s="7" t="s">
        <v>2435</v>
      </c>
      <c r="E854" s="8" t="s">
        <v>2436</v>
      </c>
      <c r="F854" s="9" t="s">
        <v>2437</v>
      </c>
      <c r="G854" s="8" t="s">
        <v>2437</v>
      </c>
      <c r="H854" s="15"/>
      <c r="I854" s="15"/>
      <c r="J854" s="10"/>
      <c r="K854" s="10"/>
      <c r="L854" s="10"/>
      <c r="M854" s="11" t="str">
        <f aca="false">IF(COUNTA(J854:L854)&lt;3,"",IF(COUNTIF(J854:L854,"유지")=3,"채택","제외"))</f>
        <v/>
      </c>
      <c r="N854" s="12"/>
    </row>
    <row r="855" customFormat="false" ht="15" hidden="false" customHeight="false" outlineLevel="0" collapsed="false">
      <c r="A855" s="7" t="n">
        <v>854</v>
      </c>
      <c r="B855" s="7" t="s">
        <v>1967</v>
      </c>
      <c r="C855" s="7" t="s">
        <v>2401</v>
      </c>
      <c r="D855" s="7" t="s">
        <v>2438</v>
      </c>
      <c r="E855" s="8" t="s">
        <v>2439</v>
      </c>
      <c r="F855" s="9" t="s">
        <v>2440</v>
      </c>
      <c r="G855" s="8" t="s">
        <v>2440</v>
      </c>
      <c r="H855" s="15"/>
      <c r="I855" s="15"/>
      <c r="J855" s="10"/>
      <c r="K855" s="10"/>
      <c r="L855" s="10"/>
      <c r="M855" s="11" t="str">
        <f aca="false">IF(COUNTA(J855:L855)&lt;3,"",IF(COUNTIF(J855:L855,"유지")=3,"채택","제외"))</f>
        <v/>
      </c>
      <c r="N855" s="12"/>
    </row>
    <row r="856" customFormat="false" ht="15" hidden="false" customHeight="false" outlineLevel="0" collapsed="false">
      <c r="A856" s="7" t="n">
        <v>855</v>
      </c>
      <c r="B856" s="7" t="s">
        <v>1967</v>
      </c>
      <c r="C856" s="7" t="s">
        <v>2401</v>
      </c>
      <c r="D856" s="7" t="s">
        <v>2441</v>
      </c>
      <c r="E856" s="8" t="s">
        <v>2442</v>
      </c>
      <c r="F856" s="9" t="s">
        <v>2443</v>
      </c>
      <c r="G856" s="8" t="s">
        <v>2443</v>
      </c>
      <c r="H856" s="15"/>
      <c r="I856" s="15"/>
      <c r="J856" s="10"/>
      <c r="K856" s="10"/>
      <c r="L856" s="10"/>
      <c r="M856" s="11" t="str">
        <f aca="false">IF(COUNTA(J856:L856)&lt;3,"",IF(COUNTIF(J856:L856,"유지")=3,"채택","제외"))</f>
        <v/>
      </c>
      <c r="N856" s="12"/>
    </row>
    <row r="857" customFormat="false" ht="15" hidden="false" customHeight="false" outlineLevel="0" collapsed="false">
      <c r="A857" s="7" t="n">
        <v>856</v>
      </c>
      <c r="B857" s="7" t="s">
        <v>1967</v>
      </c>
      <c r="C857" s="7" t="s">
        <v>2401</v>
      </c>
      <c r="D857" s="7" t="s">
        <v>2444</v>
      </c>
      <c r="E857" s="8" t="s">
        <v>2445</v>
      </c>
      <c r="F857" s="9" t="s">
        <v>2446</v>
      </c>
      <c r="G857" s="8" t="s">
        <v>2446</v>
      </c>
      <c r="H857" s="15"/>
      <c r="I857" s="15"/>
      <c r="J857" s="10"/>
      <c r="K857" s="10"/>
      <c r="L857" s="10"/>
      <c r="M857" s="11" t="str">
        <f aca="false">IF(COUNTA(J857:L857)&lt;3,"",IF(COUNTIF(J857:L857,"유지")=3,"채택","제외"))</f>
        <v/>
      </c>
      <c r="N857" s="12"/>
    </row>
    <row r="858" customFormat="false" ht="15" hidden="false" customHeight="false" outlineLevel="0" collapsed="false">
      <c r="A858" s="7" t="n">
        <v>857</v>
      </c>
      <c r="B858" s="7" t="s">
        <v>1967</v>
      </c>
      <c r="C858" s="7" t="s">
        <v>2401</v>
      </c>
      <c r="D858" s="7" t="s">
        <v>2447</v>
      </c>
      <c r="E858" s="8" t="s">
        <v>2448</v>
      </c>
      <c r="F858" s="9" t="s">
        <v>2449</v>
      </c>
      <c r="G858" s="8" t="s">
        <v>2449</v>
      </c>
      <c r="H858" s="13" t="s">
        <v>87</v>
      </c>
      <c r="I858" s="14"/>
      <c r="J858" s="10"/>
      <c r="K858" s="10"/>
      <c r="L858" s="10"/>
      <c r="M858" s="11" t="str">
        <f aca="false">IF(COUNTA(J858:L858)&lt;3,"",IF(COUNTIF(J858:L858,"유지")=3,"채택","제외"))</f>
        <v/>
      </c>
      <c r="N858" s="12"/>
    </row>
    <row r="859" customFormat="false" ht="15" hidden="false" customHeight="false" outlineLevel="0" collapsed="false">
      <c r="A859" s="7" t="n">
        <v>858</v>
      </c>
      <c r="B859" s="7" t="s">
        <v>1967</v>
      </c>
      <c r="C859" s="7" t="s">
        <v>2401</v>
      </c>
      <c r="D859" s="7" t="s">
        <v>2450</v>
      </c>
      <c r="E859" s="8" t="s">
        <v>2451</v>
      </c>
      <c r="F859" s="9" t="s">
        <v>2452</v>
      </c>
      <c r="G859" s="8" t="s">
        <v>2452</v>
      </c>
      <c r="H859" s="15"/>
      <c r="I859" s="15"/>
      <c r="J859" s="10"/>
      <c r="K859" s="10"/>
      <c r="L859" s="10"/>
      <c r="M859" s="11" t="str">
        <f aca="false">IF(COUNTA(J859:L859)&lt;3,"",IF(COUNTIF(J859:L859,"유지")=3,"채택","제외"))</f>
        <v/>
      </c>
      <c r="N859" s="12"/>
    </row>
    <row r="860" customFormat="false" ht="15" hidden="false" customHeight="false" outlineLevel="0" collapsed="false">
      <c r="A860" s="7" t="n">
        <v>859</v>
      </c>
      <c r="B860" s="7" t="s">
        <v>1967</v>
      </c>
      <c r="C860" s="7" t="s">
        <v>2401</v>
      </c>
      <c r="D860" s="7" t="s">
        <v>2453</v>
      </c>
      <c r="E860" s="8" t="s">
        <v>2454</v>
      </c>
      <c r="F860" s="9" t="s">
        <v>2455</v>
      </c>
      <c r="G860" s="8" t="s">
        <v>2455</v>
      </c>
      <c r="H860" s="15"/>
      <c r="I860" s="15"/>
      <c r="J860" s="10"/>
      <c r="K860" s="10"/>
      <c r="L860" s="10"/>
      <c r="M860" s="11" t="str">
        <f aca="false">IF(COUNTA(J860:L860)&lt;3,"",IF(COUNTIF(J860:L860,"유지")=3,"채택","제외"))</f>
        <v/>
      </c>
      <c r="N860" s="12"/>
    </row>
    <row r="861" customFormat="false" ht="15" hidden="false" customHeight="false" outlineLevel="0" collapsed="false">
      <c r="A861" s="7" t="n">
        <v>860</v>
      </c>
      <c r="B861" s="7" t="s">
        <v>1967</v>
      </c>
      <c r="C861" s="7" t="s">
        <v>2456</v>
      </c>
      <c r="D861" s="7" t="s">
        <v>2456</v>
      </c>
      <c r="E861" s="8" t="s">
        <v>2457</v>
      </c>
      <c r="F861" s="9" t="s">
        <v>2458</v>
      </c>
      <c r="G861" s="8" t="s">
        <v>2458</v>
      </c>
      <c r="H861" s="13" t="s">
        <v>87</v>
      </c>
      <c r="I861" s="14"/>
      <c r="J861" s="10"/>
      <c r="K861" s="10"/>
      <c r="L861" s="10"/>
      <c r="M861" s="11" t="str">
        <f aca="false">IF(COUNTA(J861:L861)&lt;3,"",IF(COUNTIF(J861:L861,"유지")=3,"채택","제외"))</f>
        <v/>
      </c>
      <c r="N861" s="12"/>
    </row>
    <row r="862" customFormat="false" ht="15" hidden="false" customHeight="false" outlineLevel="0" collapsed="false">
      <c r="A862" s="7" t="n">
        <v>861</v>
      </c>
      <c r="B862" s="7" t="s">
        <v>1967</v>
      </c>
      <c r="C862" s="7" t="s">
        <v>2456</v>
      </c>
      <c r="D862" s="7" t="s">
        <v>2459</v>
      </c>
      <c r="E862" s="8" t="s">
        <v>2460</v>
      </c>
      <c r="F862" s="9" t="s">
        <v>2461</v>
      </c>
      <c r="G862" s="8" t="s">
        <v>2461</v>
      </c>
      <c r="H862" s="15"/>
      <c r="I862" s="15"/>
      <c r="J862" s="10"/>
      <c r="K862" s="10"/>
      <c r="L862" s="10"/>
      <c r="M862" s="11" t="str">
        <f aca="false">IF(COUNTA(J862:L862)&lt;3,"",IF(COUNTIF(J862:L862,"유지")=3,"채택","제외"))</f>
        <v/>
      </c>
      <c r="N862" s="12"/>
    </row>
    <row r="863" customFormat="false" ht="15" hidden="false" customHeight="false" outlineLevel="0" collapsed="false">
      <c r="A863" s="7" t="n">
        <v>862</v>
      </c>
      <c r="B863" s="7" t="s">
        <v>1967</v>
      </c>
      <c r="C863" s="7" t="s">
        <v>2456</v>
      </c>
      <c r="D863" s="7" t="s">
        <v>2462</v>
      </c>
      <c r="E863" s="8" t="s">
        <v>2463</v>
      </c>
      <c r="F863" s="9" t="s">
        <v>2464</v>
      </c>
      <c r="G863" s="8" t="s">
        <v>2464</v>
      </c>
      <c r="H863" s="13" t="s">
        <v>87</v>
      </c>
      <c r="I863" s="14"/>
      <c r="J863" s="10"/>
      <c r="K863" s="10"/>
      <c r="L863" s="10"/>
      <c r="M863" s="11" t="str">
        <f aca="false">IF(COUNTA(J863:L863)&lt;3,"",IF(COUNTIF(J863:L863,"유지")=3,"채택","제외"))</f>
        <v/>
      </c>
      <c r="N863" s="12"/>
    </row>
    <row r="864" customFormat="false" ht="15" hidden="false" customHeight="false" outlineLevel="0" collapsed="false">
      <c r="A864" s="7" t="n">
        <v>863</v>
      </c>
      <c r="B864" s="7" t="s">
        <v>1967</v>
      </c>
      <c r="C864" s="7" t="s">
        <v>2456</v>
      </c>
      <c r="D864" s="7" t="s">
        <v>2465</v>
      </c>
      <c r="E864" s="8" t="s">
        <v>2466</v>
      </c>
      <c r="F864" s="9" t="s">
        <v>2467</v>
      </c>
      <c r="G864" s="8" t="s">
        <v>2467</v>
      </c>
      <c r="H864" s="15"/>
      <c r="I864" s="15"/>
      <c r="J864" s="10"/>
      <c r="K864" s="10"/>
      <c r="L864" s="10"/>
      <c r="M864" s="11" t="str">
        <f aca="false">IF(COUNTA(J864:L864)&lt;3,"",IF(COUNTIF(J864:L864,"유지")=3,"채택","제외"))</f>
        <v/>
      </c>
      <c r="N864" s="12"/>
    </row>
    <row r="865" customFormat="false" ht="29.85" hidden="false" customHeight="false" outlineLevel="0" collapsed="false">
      <c r="A865" s="7" t="n">
        <v>864</v>
      </c>
      <c r="B865" s="7" t="s">
        <v>1967</v>
      </c>
      <c r="C865" s="7" t="s">
        <v>2456</v>
      </c>
      <c r="D865" s="7" t="s">
        <v>2468</v>
      </c>
      <c r="E865" s="8" t="s">
        <v>2469</v>
      </c>
      <c r="F865" s="9" t="s">
        <v>2470</v>
      </c>
      <c r="G865" s="8" t="s">
        <v>2471</v>
      </c>
      <c r="H865" s="14"/>
      <c r="I865" s="14" t="s">
        <v>2472</v>
      </c>
      <c r="J865" s="10"/>
      <c r="K865" s="10"/>
      <c r="L865" s="10"/>
      <c r="M865" s="11" t="str">
        <f aca="false">IF(COUNTA(J865:L865)&lt;3,"",IF(COUNTIF(J865:L865,"유지")=3,"채택","제외"))</f>
        <v/>
      </c>
      <c r="N865" s="12"/>
    </row>
    <row r="866" customFormat="false" ht="15" hidden="false" customHeight="false" outlineLevel="0" collapsed="false">
      <c r="A866" s="7" t="n">
        <v>865</v>
      </c>
      <c r="B866" s="7" t="s">
        <v>1967</v>
      </c>
      <c r="C866" s="7" t="s">
        <v>2456</v>
      </c>
      <c r="D866" s="7" t="s">
        <v>2473</v>
      </c>
      <c r="E866" s="8" t="s">
        <v>2430</v>
      </c>
      <c r="F866" s="9" t="s">
        <v>2431</v>
      </c>
      <c r="G866" s="8" t="s">
        <v>2431</v>
      </c>
      <c r="H866" s="13" t="s">
        <v>87</v>
      </c>
      <c r="I866" s="14"/>
      <c r="J866" s="10"/>
      <c r="K866" s="10"/>
      <c r="L866" s="10"/>
      <c r="M866" s="11" t="str">
        <f aca="false">IF(COUNTA(J866:L866)&lt;3,"",IF(COUNTIF(J866:L866,"유지")=3,"채택","제외"))</f>
        <v/>
      </c>
      <c r="N866" s="12"/>
    </row>
    <row r="867" customFormat="false" ht="15" hidden="false" customHeight="false" outlineLevel="0" collapsed="false">
      <c r="A867" s="7" t="n">
        <v>866</v>
      </c>
      <c r="B867" s="7" t="s">
        <v>1967</v>
      </c>
      <c r="C867" s="7" t="s">
        <v>2456</v>
      </c>
      <c r="D867" s="7" t="s">
        <v>2474</v>
      </c>
      <c r="E867" s="8" t="s">
        <v>2475</v>
      </c>
      <c r="F867" s="9" t="s">
        <v>2476</v>
      </c>
      <c r="G867" s="8" t="s">
        <v>2476</v>
      </c>
      <c r="H867" s="13" t="s">
        <v>87</v>
      </c>
      <c r="I867" s="14"/>
      <c r="J867" s="10"/>
      <c r="K867" s="10"/>
      <c r="L867" s="10"/>
      <c r="M867" s="11" t="str">
        <f aca="false">IF(COUNTA(J867:L867)&lt;3,"",IF(COUNTIF(J867:L867,"유지")=3,"채택","제외"))</f>
        <v/>
      </c>
      <c r="N867" s="12"/>
    </row>
    <row r="868" customFormat="false" ht="15" hidden="false" customHeight="false" outlineLevel="0" collapsed="false">
      <c r="A868" s="7" t="n">
        <v>867</v>
      </c>
      <c r="B868" s="7" t="s">
        <v>1967</v>
      </c>
      <c r="C868" s="7" t="s">
        <v>2456</v>
      </c>
      <c r="D868" s="7" t="s">
        <v>2477</v>
      </c>
      <c r="E868" s="8" t="s">
        <v>2478</v>
      </c>
      <c r="F868" s="9" t="s">
        <v>2479</v>
      </c>
      <c r="G868" s="8" t="s">
        <v>2479</v>
      </c>
      <c r="H868" s="13" t="s">
        <v>87</v>
      </c>
      <c r="I868" s="14"/>
      <c r="J868" s="10"/>
      <c r="K868" s="10"/>
      <c r="L868" s="10"/>
      <c r="M868" s="11" t="str">
        <f aca="false">IF(COUNTA(J868:L868)&lt;3,"",IF(COUNTIF(J868:L868,"유지")=3,"채택","제외"))</f>
        <v/>
      </c>
      <c r="N868" s="12"/>
    </row>
    <row r="869" customFormat="false" ht="15" hidden="false" customHeight="false" outlineLevel="0" collapsed="false">
      <c r="A869" s="7" t="n">
        <v>868</v>
      </c>
      <c r="B869" s="7" t="s">
        <v>1967</v>
      </c>
      <c r="C869" s="7" t="s">
        <v>2456</v>
      </c>
      <c r="D869" s="7" t="s">
        <v>2480</v>
      </c>
      <c r="E869" s="8" t="s">
        <v>2481</v>
      </c>
      <c r="F869" s="9" t="s">
        <v>2482</v>
      </c>
      <c r="G869" s="8" t="s">
        <v>2482</v>
      </c>
      <c r="H869" s="15"/>
      <c r="I869" s="15"/>
      <c r="J869" s="10"/>
      <c r="K869" s="10"/>
      <c r="L869" s="10"/>
      <c r="M869" s="11" t="str">
        <f aca="false">IF(COUNTA(J869:L869)&lt;3,"",IF(COUNTIF(J869:L869,"유지")=3,"채택","제외"))</f>
        <v/>
      </c>
      <c r="N869" s="12"/>
    </row>
    <row r="870" customFormat="false" ht="29.85" hidden="false" customHeight="false" outlineLevel="0" collapsed="false">
      <c r="A870" s="7" t="n">
        <v>869</v>
      </c>
      <c r="B870" s="7" t="s">
        <v>1967</v>
      </c>
      <c r="C870" s="7" t="s">
        <v>2456</v>
      </c>
      <c r="D870" s="7" t="s">
        <v>2480</v>
      </c>
      <c r="E870" s="8" t="s">
        <v>1202</v>
      </c>
      <c r="F870" s="9" t="s">
        <v>1203</v>
      </c>
      <c r="G870" s="8" t="s">
        <v>1203</v>
      </c>
      <c r="H870" s="13" t="s">
        <v>1204</v>
      </c>
      <c r="I870" s="14" t="s">
        <v>1205</v>
      </c>
      <c r="J870" s="10"/>
      <c r="K870" s="10"/>
      <c r="L870" s="10"/>
      <c r="M870" s="11" t="str">
        <f aca="false">IF(COUNTA(J870:L870)&lt;3,"",IF(COUNTIF(J870:L870,"유지")=3,"채택","제외"))</f>
        <v/>
      </c>
      <c r="N870" s="12"/>
    </row>
    <row r="871" customFormat="false" ht="29.85" hidden="false" customHeight="false" outlineLevel="0" collapsed="false">
      <c r="A871" s="7" t="n">
        <v>870</v>
      </c>
      <c r="B871" s="7" t="s">
        <v>1967</v>
      </c>
      <c r="C871" s="7" t="s">
        <v>2456</v>
      </c>
      <c r="D871" s="7" t="s">
        <v>2483</v>
      </c>
      <c r="E871" s="8" t="s">
        <v>1202</v>
      </c>
      <c r="F871" s="9" t="s">
        <v>1203</v>
      </c>
      <c r="G871" s="8" t="s">
        <v>1203</v>
      </c>
      <c r="H871" s="13" t="s">
        <v>1204</v>
      </c>
      <c r="I871" s="14" t="s">
        <v>1205</v>
      </c>
      <c r="J871" s="10"/>
      <c r="K871" s="10"/>
      <c r="L871" s="10"/>
      <c r="M871" s="11" t="str">
        <f aca="false">IF(COUNTA(J871:L871)&lt;3,"",IF(COUNTIF(J871:L871,"유지")=3,"채택","제외"))</f>
        <v/>
      </c>
      <c r="N871" s="12"/>
    </row>
    <row r="872" customFormat="false" ht="15" hidden="false" customHeight="false" outlineLevel="0" collapsed="false">
      <c r="A872" s="7" t="n">
        <v>871</v>
      </c>
      <c r="B872" s="7" t="s">
        <v>1967</v>
      </c>
      <c r="C872" s="7" t="s">
        <v>2456</v>
      </c>
      <c r="D872" s="7" t="s">
        <v>2484</v>
      </c>
      <c r="E872" s="8" t="s">
        <v>2475</v>
      </c>
      <c r="F872" s="9" t="s">
        <v>2476</v>
      </c>
      <c r="G872" s="8" t="s">
        <v>2476</v>
      </c>
      <c r="H872" s="13" t="s">
        <v>87</v>
      </c>
      <c r="I872" s="14"/>
      <c r="J872" s="10"/>
      <c r="K872" s="10"/>
      <c r="L872" s="10"/>
      <c r="M872" s="11" t="str">
        <f aca="false">IF(COUNTA(J872:L872)&lt;3,"",IF(COUNTIF(J872:L872,"유지")=3,"채택","제외"))</f>
        <v/>
      </c>
      <c r="N872" s="12"/>
    </row>
    <row r="873" customFormat="false" ht="15" hidden="false" customHeight="false" outlineLevel="0" collapsed="false">
      <c r="A873" s="7" t="n">
        <v>872</v>
      </c>
      <c r="B873" s="7" t="s">
        <v>1967</v>
      </c>
      <c r="C873" s="7" t="s">
        <v>2456</v>
      </c>
      <c r="D873" s="7" t="s">
        <v>2485</v>
      </c>
      <c r="E873" s="8" t="s">
        <v>2478</v>
      </c>
      <c r="F873" s="9" t="s">
        <v>2479</v>
      </c>
      <c r="G873" s="8" t="s">
        <v>2479</v>
      </c>
      <c r="H873" s="13" t="s">
        <v>87</v>
      </c>
      <c r="I873" s="14"/>
      <c r="J873" s="10"/>
      <c r="K873" s="10"/>
      <c r="L873" s="10"/>
      <c r="M873" s="11" t="str">
        <f aca="false">IF(COUNTA(J873:L873)&lt;3,"",IF(COUNTIF(J873:L873,"유지")=3,"채택","제외"))</f>
        <v/>
      </c>
      <c r="N873" s="12"/>
    </row>
    <row r="874" customFormat="false" ht="15" hidden="false" customHeight="false" outlineLevel="0" collapsed="false">
      <c r="A874" s="7" t="n">
        <v>873</v>
      </c>
      <c r="B874" s="7" t="s">
        <v>1967</v>
      </c>
      <c r="C874" s="7" t="s">
        <v>2456</v>
      </c>
      <c r="D874" s="7" t="s">
        <v>2486</v>
      </c>
      <c r="E874" s="8" t="s">
        <v>2487</v>
      </c>
      <c r="F874" s="9" t="s">
        <v>2488</v>
      </c>
      <c r="G874" s="8" t="s">
        <v>2488</v>
      </c>
      <c r="H874" s="15"/>
      <c r="I874" s="15"/>
      <c r="J874" s="10"/>
      <c r="K874" s="10"/>
      <c r="L874" s="10"/>
      <c r="M874" s="11" t="str">
        <f aca="false">IF(COUNTA(J874:L874)&lt;3,"",IF(COUNTIF(J874:L874,"유지")=3,"채택","제외"))</f>
        <v/>
      </c>
      <c r="N874" s="12"/>
    </row>
    <row r="875" customFormat="false" ht="15" hidden="false" customHeight="false" outlineLevel="0" collapsed="false">
      <c r="A875" s="7" t="n">
        <v>874</v>
      </c>
      <c r="B875" s="7" t="s">
        <v>1967</v>
      </c>
      <c r="C875" s="7" t="s">
        <v>2456</v>
      </c>
      <c r="D875" s="7" t="s">
        <v>2489</v>
      </c>
      <c r="E875" s="8" t="s">
        <v>1447</v>
      </c>
      <c r="F875" s="9" t="s">
        <v>1448</v>
      </c>
      <c r="G875" s="8" t="s">
        <v>1448</v>
      </c>
      <c r="H875" s="13" t="s">
        <v>1204</v>
      </c>
      <c r="I875" s="14" t="s">
        <v>1449</v>
      </c>
      <c r="J875" s="10"/>
      <c r="K875" s="10"/>
      <c r="L875" s="10"/>
      <c r="M875" s="11" t="str">
        <f aca="false">IF(COUNTA(J875:L875)&lt;3,"",IF(COUNTIF(J875:L875,"유지")=3,"채택","제외"))</f>
        <v/>
      </c>
      <c r="N875" s="12"/>
    </row>
    <row r="876" customFormat="false" ht="15" hidden="false" customHeight="false" outlineLevel="0" collapsed="false">
      <c r="A876" s="7" t="n">
        <v>875</v>
      </c>
      <c r="B876" s="7" t="s">
        <v>1967</v>
      </c>
      <c r="C876" s="7" t="s">
        <v>2456</v>
      </c>
      <c r="D876" s="7" t="s">
        <v>2490</v>
      </c>
      <c r="E876" s="8" t="s">
        <v>2491</v>
      </c>
      <c r="F876" s="9" t="s">
        <v>2492</v>
      </c>
      <c r="G876" s="8" t="s">
        <v>2492</v>
      </c>
      <c r="H876" s="15"/>
      <c r="I876" s="15"/>
      <c r="J876" s="10"/>
      <c r="K876" s="10"/>
      <c r="L876" s="10"/>
      <c r="M876" s="11" t="str">
        <f aca="false">IF(COUNTA(J876:L876)&lt;3,"",IF(COUNTIF(J876:L876,"유지")=3,"채택","제외"))</f>
        <v/>
      </c>
      <c r="N876" s="12"/>
    </row>
    <row r="877" customFormat="false" ht="15" hidden="false" customHeight="false" outlineLevel="0" collapsed="false">
      <c r="A877" s="7" t="n">
        <v>876</v>
      </c>
      <c r="B877" s="7" t="s">
        <v>1967</v>
      </c>
      <c r="C877" s="7" t="s">
        <v>2456</v>
      </c>
      <c r="D877" s="7" t="s">
        <v>2493</v>
      </c>
      <c r="E877" s="8" t="s">
        <v>2494</v>
      </c>
      <c r="F877" s="9" t="s">
        <v>2495</v>
      </c>
      <c r="G877" s="8" t="s">
        <v>2495</v>
      </c>
      <c r="H877" s="15"/>
      <c r="I877" s="15"/>
      <c r="J877" s="10"/>
      <c r="K877" s="10"/>
      <c r="L877" s="10"/>
      <c r="M877" s="11" t="str">
        <f aca="false">IF(COUNTA(J877:L877)&lt;3,"",IF(COUNTIF(J877:L877,"유지")=3,"채택","제외"))</f>
        <v/>
      </c>
      <c r="N877" s="12"/>
    </row>
    <row r="878" customFormat="false" ht="15" hidden="false" customHeight="false" outlineLevel="0" collapsed="false">
      <c r="A878" s="7" t="n">
        <v>877</v>
      </c>
      <c r="B878" s="7" t="s">
        <v>1967</v>
      </c>
      <c r="C878" s="7" t="s">
        <v>2456</v>
      </c>
      <c r="D878" s="7" t="s">
        <v>2496</v>
      </c>
      <c r="E878" s="8" t="s">
        <v>2497</v>
      </c>
      <c r="F878" s="9" t="s">
        <v>2498</v>
      </c>
      <c r="G878" s="8" t="s">
        <v>2498</v>
      </c>
      <c r="H878" s="13" t="s">
        <v>87</v>
      </c>
      <c r="I878" s="14"/>
      <c r="J878" s="10"/>
      <c r="K878" s="10"/>
      <c r="L878" s="10"/>
      <c r="M878" s="11" t="str">
        <f aca="false">IF(COUNTA(J878:L878)&lt;3,"",IF(COUNTIF(J878:L878,"유지")=3,"채택","제외"))</f>
        <v/>
      </c>
      <c r="N878" s="12"/>
    </row>
    <row r="879" customFormat="false" ht="15" hidden="false" customHeight="false" outlineLevel="0" collapsed="false">
      <c r="A879" s="7" t="n">
        <v>878</v>
      </c>
      <c r="B879" s="7" t="s">
        <v>1967</v>
      </c>
      <c r="C879" s="7" t="s">
        <v>2456</v>
      </c>
      <c r="D879" s="7" t="s">
        <v>2499</v>
      </c>
      <c r="E879" s="8" t="s">
        <v>2500</v>
      </c>
      <c r="F879" s="9" t="s">
        <v>2501</v>
      </c>
      <c r="G879" s="8" t="s">
        <v>2501</v>
      </c>
      <c r="H879" s="15"/>
      <c r="I879" s="15"/>
      <c r="J879" s="10"/>
      <c r="K879" s="10"/>
      <c r="L879" s="10"/>
      <c r="M879" s="11" t="str">
        <f aca="false">IF(COUNTA(J879:L879)&lt;3,"",IF(COUNTIF(J879:L879,"유지")=3,"채택","제외"))</f>
        <v/>
      </c>
      <c r="N879" s="12"/>
    </row>
    <row r="880" customFormat="false" ht="15" hidden="false" customHeight="false" outlineLevel="0" collapsed="false">
      <c r="A880" s="7" t="n">
        <v>879</v>
      </c>
      <c r="B880" s="7" t="s">
        <v>1967</v>
      </c>
      <c r="C880" s="7" t="s">
        <v>2456</v>
      </c>
      <c r="D880" s="7" t="s">
        <v>2502</v>
      </c>
      <c r="E880" s="8" t="s">
        <v>2503</v>
      </c>
      <c r="F880" s="9" t="s">
        <v>2504</v>
      </c>
      <c r="G880" s="8" t="s">
        <v>2504</v>
      </c>
      <c r="H880" s="15"/>
      <c r="I880" s="15"/>
      <c r="J880" s="10"/>
      <c r="K880" s="10"/>
      <c r="L880" s="10"/>
      <c r="M880" s="11" t="str">
        <f aca="false">IF(COUNTA(J880:L880)&lt;3,"",IF(COUNTIF(J880:L880,"유지")=3,"채택","제외"))</f>
        <v/>
      </c>
      <c r="N880" s="12"/>
    </row>
    <row r="881" customFormat="false" ht="15" hidden="false" customHeight="false" outlineLevel="0" collapsed="false">
      <c r="A881" s="7" t="n">
        <v>880</v>
      </c>
      <c r="B881" s="7" t="s">
        <v>1967</v>
      </c>
      <c r="C881" s="7" t="s">
        <v>2456</v>
      </c>
      <c r="D881" s="7" t="s">
        <v>2505</v>
      </c>
      <c r="E881" s="8" t="s">
        <v>2448</v>
      </c>
      <c r="F881" s="9" t="s">
        <v>2449</v>
      </c>
      <c r="G881" s="8" t="s">
        <v>2449</v>
      </c>
      <c r="H881" s="13" t="s">
        <v>87</v>
      </c>
      <c r="I881" s="14"/>
      <c r="J881" s="10"/>
      <c r="K881" s="10"/>
      <c r="L881" s="10"/>
      <c r="M881" s="11" t="str">
        <f aca="false">IF(COUNTA(J881:L881)&lt;3,"",IF(COUNTIF(J881:L881,"유지")=3,"채택","제외"))</f>
        <v/>
      </c>
      <c r="N881" s="12"/>
    </row>
    <row r="882" customFormat="false" ht="15" hidden="false" customHeight="false" outlineLevel="0" collapsed="false">
      <c r="A882" s="7" t="n">
        <v>881</v>
      </c>
      <c r="B882" s="7" t="s">
        <v>1967</v>
      </c>
      <c r="C882" s="7" t="s">
        <v>2456</v>
      </c>
      <c r="D882" s="7" t="s">
        <v>2506</v>
      </c>
      <c r="E882" s="8" t="s">
        <v>2457</v>
      </c>
      <c r="F882" s="9" t="s">
        <v>2458</v>
      </c>
      <c r="G882" s="8" t="s">
        <v>2458</v>
      </c>
      <c r="H882" s="13" t="s">
        <v>87</v>
      </c>
      <c r="I882" s="14"/>
      <c r="J882" s="10"/>
      <c r="K882" s="10"/>
      <c r="L882" s="10"/>
      <c r="M882" s="11" t="str">
        <f aca="false">IF(COUNTA(J882:L882)&lt;3,"",IF(COUNTIF(J882:L882,"유지")=3,"채택","제외"))</f>
        <v/>
      </c>
      <c r="N882" s="12"/>
    </row>
    <row r="883" customFormat="false" ht="15" hidden="false" customHeight="false" outlineLevel="0" collapsed="false">
      <c r="A883" s="7" t="n">
        <v>882</v>
      </c>
      <c r="B883" s="7" t="s">
        <v>1967</v>
      </c>
      <c r="C883" s="7" t="s">
        <v>2456</v>
      </c>
      <c r="D883" s="7" t="s">
        <v>2507</v>
      </c>
      <c r="E883" s="8" t="s">
        <v>2508</v>
      </c>
      <c r="F883" s="9" t="s">
        <v>2509</v>
      </c>
      <c r="G883" s="8" t="s">
        <v>2509</v>
      </c>
      <c r="H883" s="15"/>
      <c r="I883" s="15"/>
      <c r="J883" s="10"/>
      <c r="K883" s="10"/>
      <c r="L883" s="10"/>
      <c r="M883" s="11" t="str">
        <f aca="false">IF(COUNTA(J883:L883)&lt;3,"",IF(COUNTIF(J883:L883,"유지")=3,"채택","제외"))</f>
        <v/>
      </c>
      <c r="N883" s="12"/>
    </row>
    <row r="884" customFormat="false" ht="29.85" hidden="false" customHeight="false" outlineLevel="0" collapsed="false">
      <c r="A884" s="7" t="n">
        <v>883</v>
      </c>
      <c r="B884" s="7" t="s">
        <v>1967</v>
      </c>
      <c r="C884" s="7" t="s">
        <v>2456</v>
      </c>
      <c r="D884" s="7" t="s">
        <v>2507</v>
      </c>
      <c r="E884" s="8" t="s">
        <v>2510</v>
      </c>
      <c r="F884" s="9" t="s">
        <v>2511</v>
      </c>
      <c r="G884" s="8" t="s">
        <v>2511</v>
      </c>
      <c r="H884" s="13" t="s">
        <v>87</v>
      </c>
      <c r="I884" s="14" t="s">
        <v>2512</v>
      </c>
      <c r="J884" s="10"/>
      <c r="K884" s="10"/>
      <c r="L884" s="10"/>
      <c r="M884" s="11" t="str">
        <f aca="false">IF(COUNTA(J884:L884)&lt;3,"",IF(COUNTIF(J884:L884,"유지")=3,"채택","제외"))</f>
        <v/>
      </c>
      <c r="N884" s="12"/>
    </row>
    <row r="885" customFormat="false" ht="15" hidden="false" customHeight="false" outlineLevel="0" collapsed="false">
      <c r="A885" s="7" t="n">
        <v>884</v>
      </c>
      <c r="B885" s="7" t="s">
        <v>1967</v>
      </c>
      <c r="C885" s="7" t="s">
        <v>2456</v>
      </c>
      <c r="D885" s="7" t="s">
        <v>2513</v>
      </c>
      <c r="E885" s="8" t="s">
        <v>2514</v>
      </c>
      <c r="F885" s="9" t="s">
        <v>2515</v>
      </c>
      <c r="G885" s="8" t="s">
        <v>2515</v>
      </c>
      <c r="H885" s="13" t="s">
        <v>87</v>
      </c>
      <c r="I885" s="14"/>
      <c r="J885" s="10"/>
      <c r="K885" s="10"/>
      <c r="L885" s="10"/>
      <c r="M885" s="11" t="str">
        <f aca="false">IF(COUNTA(J885:L885)&lt;3,"",IF(COUNTIF(J885:L885,"유지")=3,"채택","제외"))</f>
        <v/>
      </c>
      <c r="N885" s="12"/>
    </row>
    <row r="886" customFormat="false" ht="15" hidden="false" customHeight="false" outlineLevel="0" collapsed="false">
      <c r="A886" s="7" t="n">
        <v>885</v>
      </c>
      <c r="B886" s="7" t="s">
        <v>1967</v>
      </c>
      <c r="C886" s="7" t="s">
        <v>2456</v>
      </c>
      <c r="D886" s="7" t="s">
        <v>2516</v>
      </c>
      <c r="E886" s="8" t="s">
        <v>2514</v>
      </c>
      <c r="F886" s="9" t="s">
        <v>2515</v>
      </c>
      <c r="G886" s="8" t="s">
        <v>2515</v>
      </c>
      <c r="H886" s="13" t="s">
        <v>87</v>
      </c>
      <c r="I886" s="14"/>
      <c r="J886" s="10"/>
      <c r="K886" s="10"/>
      <c r="L886" s="10"/>
      <c r="M886" s="11" t="str">
        <f aca="false">IF(COUNTA(J886:L886)&lt;3,"",IF(COUNTIF(J886:L886,"유지")=3,"채택","제외"))</f>
        <v/>
      </c>
      <c r="N886" s="12"/>
    </row>
    <row r="887" customFormat="false" ht="15" hidden="false" customHeight="false" outlineLevel="0" collapsed="false">
      <c r="A887" s="7" t="n">
        <v>886</v>
      </c>
      <c r="B887" s="7" t="s">
        <v>1967</v>
      </c>
      <c r="C887" s="7" t="s">
        <v>2456</v>
      </c>
      <c r="D887" s="7" t="s">
        <v>2517</v>
      </c>
      <c r="E887" s="8" t="s">
        <v>2261</v>
      </c>
      <c r="F887" s="9" t="s">
        <v>2262</v>
      </c>
      <c r="G887" s="8" t="s">
        <v>2262</v>
      </c>
      <c r="H887" s="13" t="s">
        <v>87</v>
      </c>
      <c r="I887" s="14"/>
      <c r="J887" s="10"/>
      <c r="K887" s="10"/>
      <c r="L887" s="10"/>
      <c r="M887" s="11" t="str">
        <f aca="false">IF(COUNTA(J887:L887)&lt;3,"",IF(COUNTIF(J887:L887,"유지")=3,"채택","제외"))</f>
        <v/>
      </c>
      <c r="N887" s="12"/>
    </row>
    <row r="888" customFormat="false" ht="15" hidden="false" customHeight="false" outlineLevel="0" collapsed="false">
      <c r="A888" s="7" t="n">
        <v>887</v>
      </c>
      <c r="B888" s="7" t="s">
        <v>1967</v>
      </c>
      <c r="C888" s="7" t="s">
        <v>2456</v>
      </c>
      <c r="D888" s="7" t="s">
        <v>2518</v>
      </c>
      <c r="E888" s="8" t="s">
        <v>2463</v>
      </c>
      <c r="F888" s="9" t="s">
        <v>2464</v>
      </c>
      <c r="G888" s="8" t="s">
        <v>2464</v>
      </c>
      <c r="H888" s="13" t="s">
        <v>87</v>
      </c>
      <c r="I888" s="14"/>
      <c r="J888" s="10"/>
      <c r="K888" s="10"/>
      <c r="L888" s="10"/>
      <c r="M888" s="11" t="str">
        <f aca="false">IF(COUNTA(J888:L888)&lt;3,"",IF(COUNTIF(J888:L888,"유지")=3,"채택","제외"))</f>
        <v/>
      </c>
      <c r="N888" s="12"/>
    </row>
    <row r="889" customFormat="false" ht="15" hidden="false" customHeight="false" outlineLevel="0" collapsed="false">
      <c r="A889" s="7" t="n">
        <v>888</v>
      </c>
      <c r="B889" s="7" t="s">
        <v>1967</v>
      </c>
      <c r="C889" s="7" t="s">
        <v>2456</v>
      </c>
      <c r="D889" s="7" t="s">
        <v>2519</v>
      </c>
      <c r="E889" s="8" t="s">
        <v>2520</v>
      </c>
      <c r="F889" s="9" t="s">
        <v>2521</v>
      </c>
      <c r="G889" s="8" t="s">
        <v>2521</v>
      </c>
      <c r="H889" s="15"/>
      <c r="I889" s="15"/>
      <c r="J889" s="10"/>
      <c r="K889" s="10"/>
      <c r="L889" s="10"/>
      <c r="M889" s="11" t="str">
        <f aca="false">IF(COUNTA(J889:L889)&lt;3,"",IF(COUNTIF(J889:L889,"유지")=3,"채택","제외"))</f>
        <v/>
      </c>
      <c r="N889" s="12"/>
    </row>
    <row r="890" customFormat="false" ht="15" hidden="false" customHeight="false" outlineLevel="0" collapsed="false">
      <c r="A890" s="7" t="n">
        <v>889</v>
      </c>
      <c r="B890" s="7" t="s">
        <v>1967</v>
      </c>
      <c r="C890" s="7" t="s">
        <v>2456</v>
      </c>
      <c r="D890" s="7" t="s">
        <v>2522</v>
      </c>
      <c r="E890" s="8" t="s">
        <v>2523</v>
      </c>
      <c r="F890" s="9" t="s">
        <v>2524</v>
      </c>
      <c r="G890" s="8" t="s">
        <v>2525</v>
      </c>
      <c r="H890" s="13" t="s">
        <v>87</v>
      </c>
      <c r="I890" s="14"/>
      <c r="J890" s="10"/>
      <c r="K890" s="10"/>
      <c r="L890" s="10"/>
      <c r="M890" s="11" t="str">
        <f aca="false">IF(COUNTA(J890:L890)&lt;3,"",IF(COUNTIF(J890:L890,"유지")=3,"채택","제외"))</f>
        <v/>
      </c>
      <c r="N890" s="12"/>
    </row>
    <row r="891" customFormat="false" ht="15" hidden="false" customHeight="false" outlineLevel="0" collapsed="false">
      <c r="A891" s="7" t="n">
        <v>890</v>
      </c>
      <c r="B891" s="7" t="s">
        <v>1967</v>
      </c>
      <c r="C891" s="7" t="s">
        <v>2456</v>
      </c>
      <c r="D891" s="7" t="s">
        <v>2526</v>
      </c>
      <c r="E891" s="8" t="s">
        <v>2527</v>
      </c>
      <c r="F891" s="9" t="s">
        <v>2528</v>
      </c>
      <c r="G891" s="8" t="s">
        <v>2528</v>
      </c>
      <c r="H891" s="15"/>
      <c r="I891" s="15"/>
      <c r="J891" s="10"/>
      <c r="K891" s="10"/>
      <c r="L891" s="10"/>
      <c r="M891" s="11" t="str">
        <f aca="false">IF(COUNTA(J891:L891)&lt;3,"",IF(COUNTIF(J891:L891,"유지")=3,"채택","제외"))</f>
        <v/>
      </c>
      <c r="N891" s="12"/>
    </row>
    <row r="892" customFormat="false" ht="15" hidden="false" customHeight="false" outlineLevel="0" collapsed="false">
      <c r="A892" s="7" t="n">
        <v>891</v>
      </c>
      <c r="B892" s="7" t="s">
        <v>1967</v>
      </c>
      <c r="C892" s="7" t="s">
        <v>2456</v>
      </c>
      <c r="D892" s="7" t="s">
        <v>2529</v>
      </c>
      <c r="E892" s="8" t="s">
        <v>2530</v>
      </c>
      <c r="F892" s="9" t="s">
        <v>2531</v>
      </c>
      <c r="G892" s="8" t="s">
        <v>2531</v>
      </c>
      <c r="H892" s="15"/>
      <c r="I892" s="15"/>
      <c r="J892" s="10"/>
      <c r="K892" s="10"/>
      <c r="L892" s="10"/>
      <c r="M892" s="11" t="str">
        <f aca="false">IF(COUNTA(J892:L892)&lt;3,"",IF(COUNTIF(J892:L892,"유지")=3,"채택","제외"))</f>
        <v/>
      </c>
      <c r="N892" s="12"/>
    </row>
    <row r="893" customFormat="false" ht="15" hidden="false" customHeight="false" outlineLevel="0" collapsed="false">
      <c r="A893" s="7" t="n">
        <v>892</v>
      </c>
      <c r="B893" s="7" t="s">
        <v>1967</v>
      </c>
      <c r="C893" s="7" t="s">
        <v>2456</v>
      </c>
      <c r="D893" s="7" t="s">
        <v>2532</v>
      </c>
      <c r="E893" s="8" t="s">
        <v>2523</v>
      </c>
      <c r="F893" s="9" t="s">
        <v>2524</v>
      </c>
      <c r="G893" s="8" t="s">
        <v>2525</v>
      </c>
      <c r="H893" s="13" t="s">
        <v>87</v>
      </c>
      <c r="I893" s="14"/>
      <c r="J893" s="10"/>
      <c r="K893" s="10"/>
      <c r="L893" s="10"/>
      <c r="M893" s="11" t="str">
        <f aca="false">IF(COUNTA(J893:L893)&lt;3,"",IF(COUNTIF(J893:L893,"유지")=3,"채택","제외"))</f>
        <v/>
      </c>
      <c r="N893" s="12"/>
    </row>
    <row r="894" customFormat="false" ht="15" hidden="false" customHeight="false" outlineLevel="0" collapsed="false">
      <c r="A894" s="7" t="n">
        <v>893</v>
      </c>
      <c r="B894" s="7" t="s">
        <v>1967</v>
      </c>
      <c r="C894" s="7" t="s">
        <v>2533</v>
      </c>
      <c r="D894" s="7" t="s">
        <v>2533</v>
      </c>
      <c r="E894" s="8" t="s">
        <v>2534</v>
      </c>
      <c r="F894" s="9" t="s">
        <v>2535</v>
      </c>
      <c r="G894" s="8" t="s">
        <v>2535</v>
      </c>
      <c r="H894" s="15"/>
      <c r="I894" s="15"/>
      <c r="J894" s="10"/>
      <c r="K894" s="10"/>
      <c r="L894" s="10"/>
      <c r="M894" s="11" t="str">
        <f aca="false">IF(COUNTA(J894:L894)&lt;3,"",IF(COUNTIF(J894:L894,"유지")=3,"채택","제외"))</f>
        <v/>
      </c>
      <c r="N894" s="12"/>
    </row>
    <row r="895" customFormat="false" ht="15" hidden="false" customHeight="false" outlineLevel="0" collapsed="false">
      <c r="A895" s="7" t="n">
        <v>894</v>
      </c>
      <c r="B895" s="7" t="s">
        <v>1967</v>
      </c>
      <c r="C895" s="7" t="s">
        <v>2533</v>
      </c>
      <c r="D895" s="7" t="s">
        <v>2536</v>
      </c>
      <c r="E895" s="8" t="s">
        <v>2277</v>
      </c>
      <c r="F895" s="9" t="s">
        <v>2278</v>
      </c>
      <c r="G895" s="8" t="s">
        <v>2279</v>
      </c>
      <c r="H895" s="13" t="s">
        <v>87</v>
      </c>
      <c r="I895" s="14"/>
      <c r="J895" s="10"/>
      <c r="K895" s="10"/>
      <c r="L895" s="10"/>
      <c r="M895" s="11" t="str">
        <f aca="false">IF(COUNTA(J895:L895)&lt;3,"",IF(COUNTIF(J895:L895,"유지")=3,"채택","제외"))</f>
        <v/>
      </c>
      <c r="N895" s="12"/>
    </row>
    <row r="896" customFormat="false" ht="15" hidden="false" customHeight="false" outlineLevel="0" collapsed="false">
      <c r="A896" s="7" t="n">
        <v>895</v>
      </c>
      <c r="B896" s="7" t="s">
        <v>1967</v>
      </c>
      <c r="C896" s="7" t="s">
        <v>2533</v>
      </c>
      <c r="D896" s="7" t="s">
        <v>2537</v>
      </c>
      <c r="E896" s="8" t="s">
        <v>1979</v>
      </c>
      <c r="F896" s="9" t="s">
        <v>1980</v>
      </c>
      <c r="G896" s="8" t="s">
        <v>1980</v>
      </c>
      <c r="H896" s="13" t="s">
        <v>87</v>
      </c>
      <c r="I896" s="14"/>
      <c r="J896" s="10"/>
      <c r="K896" s="10"/>
      <c r="L896" s="10"/>
      <c r="M896" s="11" t="str">
        <f aca="false">IF(COUNTA(J896:L896)&lt;3,"",IF(COUNTIF(J896:L896,"유지")=3,"채택","제외"))</f>
        <v/>
      </c>
      <c r="N896" s="12"/>
    </row>
    <row r="897" customFormat="false" ht="15" hidden="false" customHeight="false" outlineLevel="0" collapsed="false">
      <c r="A897" s="7" t="n">
        <v>896</v>
      </c>
      <c r="B897" s="7" t="s">
        <v>1967</v>
      </c>
      <c r="C897" s="7" t="s">
        <v>2533</v>
      </c>
      <c r="D897" s="7" t="s">
        <v>2538</v>
      </c>
      <c r="E897" s="8" t="s">
        <v>2539</v>
      </c>
      <c r="F897" s="9" t="s">
        <v>2540</v>
      </c>
      <c r="G897" s="8" t="s">
        <v>2540</v>
      </c>
      <c r="H897" s="15"/>
      <c r="I897" s="15"/>
      <c r="J897" s="10"/>
      <c r="K897" s="10"/>
      <c r="L897" s="10"/>
      <c r="M897" s="11" t="str">
        <f aca="false">IF(COUNTA(J897:L897)&lt;3,"",IF(COUNTIF(J897:L897,"유지")=3,"채택","제외"))</f>
        <v/>
      </c>
      <c r="N897" s="12"/>
    </row>
    <row r="898" customFormat="false" ht="15" hidden="false" customHeight="false" outlineLevel="0" collapsed="false">
      <c r="A898" s="7" t="n">
        <v>897</v>
      </c>
      <c r="B898" s="7" t="s">
        <v>1967</v>
      </c>
      <c r="C898" s="7" t="s">
        <v>2533</v>
      </c>
      <c r="D898" s="7" t="s">
        <v>2541</v>
      </c>
      <c r="E898" s="8" t="s">
        <v>2542</v>
      </c>
      <c r="F898" s="9" t="s">
        <v>2543</v>
      </c>
      <c r="G898" s="8" t="s">
        <v>2543</v>
      </c>
      <c r="H898" s="15"/>
      <c r="I898" s="15"/>
      <c r="J898" s="10"/>
      <c r="K898" s="10"/>
      <c r="L898" s="10"/>
      <c r="M898" s="11" t="str">
        <f aca="false">IF(COUNTA(J898:L898)&lt;3,"",IF(COUNTIF(J898:L898,"유지")=3,"채택","제외"))</f>
        <v/>
      </c>
      <c r="N898" s="12"/>
    </row>
    <row r="899" customFormat="false" ht="29.85" hidden="false" customHeight="false" outlineLevel="0" collapsed="false">
      <c r="A899" s="7" t="n">
        <v>898</v>
      </c>
      <c r="B899" s="7" t="s">
        <v>1967</v>
      </c>
      <c r="C899" s="7" t="s">
        <v>2533</v>
      </c>
      <c r="D899" s="7" t="s">
        <v>2544</v>
      </c>
      <c r="E899" s="8" t="s">
        <v>648</v>
      </c>
      <c r="F899" s="9" t="s">
        <v>649</v>
      </c>
      <c r="G899" s="8" t="s">
        <v>649</v>
      </c>
      <c r="H899" s="13" t="s">
        <v>56</v>
      </c>
      <c r="I899" s="13" t="s">
        <v>650</v>
      </c>
      <c r="J899" s="10"/>
      <c r="K899" s="10"/>
      <c r="L899" s="10"/>
      <c r="M899" s="11" t="str">
        <f aca="false">IF(COUNTA(J899:L899)&lt;3,"",IF(COUNTIF(J899:L899,"유지")=3,"채택","제외"))</f>
        <v/>
      </c>
      <c r="N899" s="12"/>
    </row>
    <row r="900" customFormat="false" ht="15" hidden="false" customHeight="false" outlineLevel="0" collapsed="false">
      <c r="A900" s="7" t="n">
        <v>899</v>
      </c>
      <c r="B900" s="7" t="s">
        <v>1967</v>
      </c>
      <c r="C900" s="7" t="s">
        <v>2533</v>
      </c>
      <c r="D900" s="7" t="s">
        <v>2545</v>
      </c>
      <c r="E900" s="8" t="s">
        <v>2546</v>
      </c>
      <c r="F900" s="9" t="s">
        <v>2547</v>
      </c>
      <c r="G900" s="8" t="s">
        <v>2547</v>
      </c>
      <c r="H900" s="15"/>
      <c r="I900" s="15"/>
      <c r="J900" s="10"/>
      <c r="K900" s="10"/>
      <c r="L900" s="10"/>
      <c r="M900" s="11" t="str">
        <f aca="false">IF(COUNTA(J900:L900)&lt;3,"",IF(COUNTIF(J900:L900,"유지")=3,"채택","제외"))</f>
        <v/>
      </c>
      <c r="N900" s="12"/>
    </row>
    <row r="901" customFormat="false" ht="15" hidden="false" customHeight="false" outlineLevel="0" collapsed="false">
      <c r="A901" s="7" t="n">
        <v>900</v>
      </c>
      <c r="B901" s="7" t="s">
        <v>1967</v>
      </c>
      <c r="C901" s="7" t="s">
        <v>2533</v>
      </c>
      <c r="D901" s="7" t="s">
        <v>2548</v>
      </c>
      <c r="E901" s="8" t="s">
        <v>2269</v>
      </c>
      <c r="F901" s="9" t="s">
        <v>2270</v>
      </c>
      <c r="G901" s="8" t="s">
        <v>2270</v>
      </c>
      <c r="H901" s="13" t="s">
        <v>87</v>
      </c>
      <c r="I901" s="14"/>
      <c r="J901" s="10"/>
      <c r="K901" s="10"/>
      <c r="L901" s="10"/>
      <c r="M901" s="11" t="str">
        <f aca="false">IF(COUNTA(J901:L901)&lt;3,"",IF(COUNTIF(J901:L901,"유지")=3,"채택","제외"))</f>
        <v/>
      </c>
      <c r="N901" s="12"/>
    </row>
    <row r="902" customFormat="false" ht="15" hidden="false" customHeight="false" outlineLevel="0" collapsed="false">
      <c r="A902" s="7" t="n">
        <v>901</v>
      </c>
      <c r="B902" s="7" t="s">
        <v>1967</v>
      </c>
      <c r="C902" s="7" t="s">
        <v>2533</v>
      </c>
      <c r="D902" s="7" t="s">
        <v>2548</v>
      </c>
      <c r="E902" s="8" t="s">
        <v>2549</v>
      </c>
      <c r="F902" s="9" t="s">
        <v>2550</v>
      </c>
      <c r="G902" s="8" t="s">
        <v>2550</v>
      </c>
      <c r="H902" s="13" t="s">
        <v>74</v>
      </c>
      <c r="I902" s="14"/>
      <c r="J902" s="10"/>
      <c r="K902" s="10"/>
      <c r="L902" s="10"/>
      <c r="M902" s="11" t="str">
        <f aca="false">IF(COUNTA(J902:L902)&lt;3,"",IF(COUNTIF(J902:L902,"유지")=3,"채택","제외"))</f>
        <v/>
      </c>
      <c r="N902" s="12"/>
    </row>
    <row r="903" customFormat="false" ht="15" hidden="false" customHeight="false" outlineLevel="0" collapsed="false">
      <c r="A903" s="7" t="n">
        <v>902</v>
      </c>
      <c r="B903" s="7" t="s">
        <v>1967</v>
      </c>
      <c r="C903" s="7" t="s">
        <v>2533</v>
      </c>
      <c r="D903" s="7" t="s">
        <v>2551</v>
      </c>
      <c r="E903" s="8" t="s">
        <v>2552</v>
      </c>
      <c r="F903" s="9" t="s">
        <v>2553</v>
      </c>
      <c r="G903" s="8" t="s">
        <v>2553</v>
      </c>
      <c r="H903" s="15"/>
      <c r="I903" s="15"/>
      <c r="J903" s="10"/>
      <c r="K903" s="10"/>
      <c r="L903" s="10"/>
      <c r="M903" s="11" t="str">
        <f aca="false">IF(COUNTA(J903:L903)&lt;3,"",IF(COUNTIF(J903:L903,"유지")=3,"채택","제외"))</f>
        <v/>
      </c>
      <c r="N903" s="12"/>
    </row>
    <row r="904" customFormat="false" ht="15" hidden="false" customHeight="false" outlineLevel="0" collapsed="false">
      <c r="A904" s="7" t="n">
        <v>903</v>
      </c>
      <c r="B904" s="7" t="s">
        <v>1967</v>
      </c>
      <c r="C904" s="7" t="s">
        <v>2533</v>
      </c>
      <c r="D904" s="7" t="s">
        <v>2554</v>
      </c>
      <c r="E904" s="8" t="s">
        <v>2048</v>
      </c>
      <c r="F904" s="9" t="s">
        <v>2049</v>
      </c>
      <c r="G904" s="8" t="s">
        <v>2050</v>
      </c>
      <c r="H904" s="13" t="s">
        <v>87</v>
      </c>
      <c r="I904" s="14"/>
      <c r="J904" s="10"/>
      <c r="K904" s="10"/>
      <c r="L904" s="10"/>
      <c r="M904" s="11" t="str">
        <f aca="false">IF(COUNTA(J904:L904)&lt;3,"",IF(COUNTIF(J904:L904,"유지")=3,"채택","제외"))</f>
        <v/>
      </c>
      <c r="N904" s="12"/>
    </row>
    <row r="905" customFormat="false" ht="15" hidden="false" customHeight="false" outlineLevel="0" collapsed="false">
      <c r="A905" s="7" t="n">
        <v>904</v>
      </c>
      <c r="B905" s="7" t="s">
        <v>1967</v>
      </c>
      <c r="C905" s="7" t="s">
        <v>2533</v>
      </c>
      <c r="D905" s="7" t="s">
        <v>2555</v>
      </c>
      <c r="E905" s="8" t="s">
        <v>2556</v>
      </c>
      <c r="F905" s="9" t="s">
        <v>2557</v>
      </c>
      <c r="G905" s="8" t="s">
        <v>2558</v>
      </c>
      <c r="H905" s="14" t="s">
        <v>2559</v>
      </c>
      <c r="I905" s="14"/>
      <c r="J905" s="10"/>
      <c r="K905" s="10"/>
      <c r="L905" s="10"/>
      <c r="M905" s="11" t="str">
        <f aca="false">IF(COUNTA(J905:L905)&lt;3,"",IF(COUNTIF(J905:L905,"유지")=3,"채택","제외"))</f>
        <v/>
      </c>
      <c r="N905" s="12"/>
    </row>
    <row r="906" customFormat="false" ht="29.85" hidden="false" customHeight="false" outlineLevel="0" collapsed="false">
      <c r="A906" s="7" t="n">
        <v>905</v>
      </c>
      <c r="B906" s="7" t="s">
        <v>1967</v>
      </c>
      <c r="C906" s="7" t="s">
        <v>2533</v>
      </c>
      <c r="D906" s="7" t="s">
        <v>2560</v>
      </c>
      <c r="E906" s="8" t="s">
        <v>2290</v>
      </c>
      <c r="F906" s="9" t="s">
        <v>808</v>
      </c>
      <c r="G906" s="8" t="s">
        <v>808</v>
      </c>
      <c r="H906" s="13" t="s">
        <v>56</v>
      </c>
      <c r="I906" s="14" t="s">
        <v>2291</v>
      </c>
      <c r="J906" s="10"/>
      <c r="K906" s="10"/>
      <c r="L906" s="10"/>
      <c r="M906" s="11" t="str">
        <f aca="false">IF(COUNTA(J906:L906)&lt;3,"",IF(COUNTIF(J906:L906,"유지")=3,"채택","제외"))</f>
        <v/>
      </c>
      <c r="N906" s="12"/>
    </row>
    <row r="907" customFormat="false" ht="15" hidden="false" customHeight="false" outlineLevel="0" collapsed="false">
      <c r="A907" s="7" t="n">
        <v>906</v>
      </c>
      <c r="B907" s="7" t="s">
        <v>1967</v>
      </c>
      <c r="C907" s="7" t="s">
        <v>2533</v>
      </c>
      <c r="D907" s="7" t="s">
        <v>2561</v>
      </c>
      <c r="E907" s="8" t="s">
        <v>2000</v>
      </c>
      <c r="F907" s="9" t="s">
        <v>2001</v>
      </c>
      <c r="G907" s="8" t="s">
        <v>2001</v>
      </c>
      <c r="H907" s="13" t="s">
        <v>87</v>
      </c>
      <c r="I907" s="14"/>
      <c r="J907" s="10"/>
      <c r="K907" s="10"/>
      <c r="L907" s="10"/>
      <c r="M907" s="11" t="str">
        <f aca="false">IF(COUNTA(J907:L907)&lt;3,"",IF(COUNTIF(J907:L907,"유지")=3,"채택","제외"))</f>
        <v/>
      </c>
      <c r="N907" s="12"/>
    </row>
    <row r="908" customFormat="false" ht="15" hidden="false" customHeight="false" outlineLevel="0" collapsed="false">
      <c r="A908" s="7" t="n">
        <v>907</v>
      </c>
      <c r="B908" s="7" t="s">
        <v>1967</v>
      </c>
      <c r="C908" s="7" t="s">
        <v>2533</v>
      </c>
      <c r="D908" s="7" t="s">
        <v>2562</v>
      </c>
      <c r="E908" s="8" t="s">
        <v>2563</v>
      </c>
      <c r="F908" s="9" t="s">
        <v>2564</v>
      </c>
      <c r="G908" s="8" t="s">
        <v>2564</v>
      </c>
      <c r="H908" s="15"/>
      <c r="I908" s="15"/>
      <c r="J908" s="10"/>
      <c r="K908" s="10"/>
      <c r="L908" s="10"/>
      <c r="M908" s="11" t="str">
        <f aca="false">IF(COUNTA(J908:L908)&lt;3,"",IF(COUNTIF(J908:L908,"유지")=3,"채택","제외"))</f>
        <v/>
      </c>
      <c r="N908" s="12"/>
    </row>
    <row r="909" customFormat="false" ht="15" hidden="false" customHeight="false" outlineLevel="0" collapsed="false">
      <c r="A909" s="7" t="n">
        <v>908</v>
      </c>
      <c r="B909" s="7" t="s">
        <v>1967</v>
      </c>
      <c r="C909" s="7" t="s">
        <v>2533</v>
      </c>
      <c r="D909" s="7" t="s">
        <v>2565</v>
      </c>
      <c r="E909" s="8" t="s">
        <v>2566</v>
      </c>
      <c r="F909" s="9" t="s">
        <v>2567</v>
      </c>
      <c r="G909" s="8" t="s">
        <v>2567</v>
      </c>
      <c r="H909" s="13" t="s">
        <v>87</v>
      </c>
      <c r="I909" s="14"/>
      <c r="J909" s="10"/>
      <c r="K909" s="10"/>
      <c r="L909" s="10"/>
      <c r="M909" s="11" t="str">
        <f aca="false">IF(COUNTA(J909:L909)&lt;3,"",IF(COUNTIF(J909:L909,"유지")=3,"채택","제외"))</f>
        <v/>
      </c>
      <c r="N909" s="12"/>
    </row>
    <row r="910" customFormat="false" ht="15" hidden="false" customHeight="false" outlineLevel="0" collapsed="false">
      <c r="A910" s="7" t="n">
        <v>909</v>
      </c>
      <c r="B910" s="7" t="s">
        <v>1967</v>
      </c>
      <c r="C910" s="7" t="s">
        <v>2533</v>
      </c>
      <c r="D910" s="7" t="s">
        <v>2568</v>
      </c>
      <c r="E910" s="8" t="s">
        <v>2566</v>
      </c>
      <c r="F910" s="9" t="s">
        <v>2567</v>
      </c>
      <c r="G910" s="8" t="s">
        <v>2567</v>
      </c>
      <c r="H910" s="13" t="s">
        <v>87</v>
      </c>
      <c r="I910" s="14"/>
      <c r="J910" s="10"/>
      <c r="K910" s="10"/>
      <c r="L910" s="10"/>
      <c r="M910" s="11" t="str">
        <f aca="false">IF(COUNTA(J910:L910)&lt;3,"",IF(COUNTIF(J910:L910,"유지")=3,"채택","제외"))</f>
        <v/>
      </c>
      <c r="N910" s="12"/>
    </row>
    <row r="911" customFormat="false" ht="15" hidden="false" customHeight="false" outlineLevel="0" collapsed="false">
      <c r="A911" s="7" t="n">
        <v>910</v>
      </c>
      <c r="B911" s="7" t="s">
        <v>1967</v>
      </c>
      <c r="C911" s="7" t="s">
        <v>2533</v>
      </c>
      <c r="D911" s="7" t="s">
        <v>2569</v>
      </c>
      <c r="E911" s="8" t="s">
        <v>2570</v>
      </c>
      <c r="F911" s="9" t="s">
        <v>2571</v>
      </c>
      <c r="G911" s="8" t="s">
        <v>2571</v>
      </c>
      <c r="H911" s="15"/>
      <c r="I911" s="15"/>
      <c r="J911" s="10"/>
      <c r="K911" s="10"/>
      <c r="L911" s="10"/>
      <c r="M911" s="11" t="str">
        <f aca="false">IF(COUNTA(J911:L911)&lt;3,"",IF(COUNTIF(J911:L911,"유지")=3,"채택","제외"))</f>
        <v/>
      </c>
      <c r="N911" s="12"/>
    </row>
    <row r="912" customFormat="false" ht="15" hidden="false" customHeight="false" outlineLevel="0" collapsed="false">
      <c r="A912" s="7" t="n">
        <v>911</v>
      </c>
      <c r="B912" s="7" t="s">
        <v>1967</v>
      </c>
      <c r="C912" s="7" t="s">
        <v>2533</v>
      </c>
      <c r="D912" s="7" t="s">
        <v>2572</v>
      </c>
      <c r="E912" s="8" t="s">
        <v>2573</v>
      </c>
      <c r="F912" s="9" t="s">
        <v>2574</v>
      </c>
      <c r="G912" s="8" t="s">
        <v>2574</v>
      </c>
      <c r="H912" s="15"/>
      <c r="I912" s="15"/>
      <c r="J912" s="10"/>
      <c r="K912" s="10"/>
      <c r="L912" s="10"/>
      <c r="M912" s="11" t="str">
        <f aca="false">IF(COUNTA(J912:L912)&lt;3,"",IF(COUNTIF(J912:L912,"유지")=3,"채택","제외"))</f>
        <v/>
      </c>
      <c r="N912" s="12"/>
    </row>
    <row r="913" customFormat="false" ht="15" hidden="false" customHeight="false" outlineLevel="0" collapsed="false">
      <c r="A913" s="7" t="n">
        <v>912</v>
      </c>
      <c r="B913" s="7" t="s">
        <v>1967</v>
      </c>
      <c r="C913" s="7" t="s">
        <v>2533</v>
      </c>
      <c r="D913" s="7" t="s">
        <v>2575</v>
      </c>
      <c r="E913" s="8" t="s">
        <v>2576</v>
      </c>
      <c r="F913" s="9" t="s">
        <v>2050</v>
      </c>
      <c r="G913" s="8" t="s">
        <v>2050</v>
      </c>
      <c r="H913" s="13" t="s">
        <v>87</v>
      </c>
      <c r="I913" s="14"/>
      <c r="J913" s="10"/>
      <c r="K913" s="10"/>
      <c r="L913" s="10"/>
      <c r="M913" s="11" t="str">
        <f aca="false">IF(COUNTA(J913:L913)&lt;3,"",IF(COUNTIF(J913:L913,"유지")=3,"채택","제외"))</f>
        <v/>
      </c>
      <c r="N913" s="12"/>
    </row>
    <row r="914" customFormat="false" ht="15" hidden="false" customHeight="false" outlineLevel="0" collapsed="false">
      <c r="A914" s="7" t="n">
        <v>913</v>
      </c>
      <c r="B914" s="7" t="s">
        <v>1967</v>
      </c>
      <c r="C914" s="7" t="s">
        <v>2533</v>
      </c>
      <c r="D914" s="7" t="s">
        <v>2577</v>
      </c>
      <c r="E914" s="8" t="s">
        <v>2036</v>
      </c>
      <c r="F914" s="9" t="s">
        <v>2037</v>
      </c>
      <c r="G914" s="8" t="s">
        <v>2037</v>
      </c>
      <c r="H914" s="13" t="s">
        <v>87</v>
      </c>
      <c r="I914" s="14"/>
      <c r="J914" s="10"/>
      <c r="K914" s="10"/>
      <c r="L914" s="10"/>
      <c r="M914" s="11" t="str">
        <f aca="false">IF(COUNTA(J914:L914)&lt;3,"",IF(COUNTIF(J914:L914,"유지")=3,"채택","제외"))</f>
        <v/>
      </c>
      <c r="N914" s="12"/>
    </row>
    <row r="915" customFormat="false" ht="15" hidden="false" customHeight="false" outlineLevel="0" collapsed="false">
      <c r="A915" s="7" t="n">
        <v>914</v>
      </c>
      <c r="B915" s="7" t="s">
        <v>1967</v>
      </c>
      <c r="C915" s="7" t="s">
        <v>2533</v>
      </c>
      <c r="D915" s="7" t="s">
        <v>2578</v>
      </c>
      <c r="E915" s="8" t="s">
        <v>2579</v>
      </c>
      <c r="F915" s="9" t="s">
        <v>2580</v>
      </c>
      <c r="G915" s="8" t="s">
        <v>2580</v>
      </c>
      <c r="H915" s="15"/>
      <c r="I915" s="15"/>
      <c r="J915" s="10"/>
      <c r="K915" s="10"/>
      <c r="L915" s="10"/>
      <c r="M915" s="11" t="str">
        <f aca="false">IF(COUNTA(J915:L915)&lt;3,"",IF(COUNTIF(J915:L915,"유지")=3,"채택","제외"))</f>
        <v/>
      </c>
      <c r="N915" s="12"/>
    </row>
    <row r="916" customFormat="false" ht="15" hidden="false" customHeight="false" outlineLevel="0" collapsed="false">
      <c r="A916" s="7" t="n">
        <v>915</v>
      </c>
      <c r="B916" s="7" t="s">
        <v>1967</v>
      </c>
      <c r="C916" s="7" t="s">
        <v>2533</v>
      </c>
      <c r="D916" s="7" t="s">
        <v>2581</v>
      </c>
      <c r="E916" s="8" t="s">
        <v>2582</v>
      </c>
      <c r="F916" s="9" t="s">
        <v>2583</v>
      </c>
      <c r="G916" s="8" t="s">
        <v>2583</v>
      </c>
      <c r="H916" s="15"/>
      <c r="I916" s="15"/>
      <c r="J916" s="10"/>
      <c r="K916" s="10"/>
      <c r="L916" s="10"/>
      <c r="M916" s="11" t="str">
        <f aca="false">IF(COUNTA(J916:L916)&lt;3,"",IF(COUNTIF(J916:L916,"유지")=3,"채택","제외"))</f>
        <v/>
      </c>
      <c r="N916" s="12"/>
    </row>
    <row r="917" customFormat="false" ht="29.85" hidden="false" customHeight="false" outlineLevel="0" collapsed="false">
      <c r="A917" s="7" t="n">
        <v>916</v>
      </c>
      <c r="B917" s="7" t="s">
        <v>1967</v>
      </c>
      <c r="C917" s="7" t="s">
        <v>2533</v>
      </c>
      <c r="D917" s="7" t="s">
        <v>2584</v>
      </c>
      <c r="E917" s="8" t="s">
        <v>2290</v>
      </c>
      <c r="F917" s="9" t="s">
        <v>808</v>
      </c>
      <c r="G917" s="8" t="s">
        <v>808</v>
      </c>
      <c r="H917" s="13" t="s">
        <v>56</v>
      </c>
      <c r="I917" s="14" t="s">
        <v>2291</v>
      </c>
      <c r="J917" s="10"/>
      <c r="K917" s="10"/>
      <c r="L917" s="10"/>
      <c r="M917" s="11" t="str">
        <f aca="false">IF(COUNTA(J917:L917)&lt;3,"",IF(COUNTIF(J917:L917,"유지")=3,"채택","제외"))</f>
        <v/>
      </c>
      <c r="N917" s="12"/>
    </row>
    <row r="918" customFormat="false" ht="15" hidden="false" customHeight="false" outlineLevel="0" collapsed="false">
      <c r="A918" s="7" t="n">
        <v>917</v>
      </c>
      <c r="B918" s="7" t="s">
        <v>1967</v>
      </c>
      <c r="C918" s="7" t="s">
        <v>2585</v>
      </c>
      <c r="D918" s="7" t="s">
        <v>2585</v>
      </c>
      <c r="E918" s="8" t="s">
        <v>2586</v>
      </c>
      <c r="F918" s="9" t="s">
        <v>2587</v>
      </c>
      <c r="G918" s="8" t="s">
        <v>2587</v>
      </c>
      <c r="H918" s="13" t="s">
        <v>87</v>
      </c>
      <c r="I918" s="14"/>
      <c r="J918" s="10"/>
      <c r="K918" s="10"/>
      <c r="L918" s="10"/>
      <c r="M918" s="11" t="str">
        <f aca="false">IF(COUNTA(J918:L918)&lt;3,"",IF(COUNTIF(J918:L918,"유지")=3,"채택","제외"))</f>
        <v/>
      </c>
      <c r="N918" s="12"/>
    </row>
    <row r="919" customFormat="false" ht="15" hidden="false" customHeight="false" outlineLevel="0" collapsed="false">
      <c r="A919" s="7" t="n">
        <v>918</v>
      </c>
      <c r="B919" s="7" t="s">
        <v>1967</v>
      </c>
      <c r="C919" s="7" t="s">
        <v>2585</v>
      </c>
      <c r="D919" s="7" t="s">
        <v>2588</v>
      </c>
      <c r="E919" s="8" t="s">
        <v>2589</v>
      </c>
      <c r="F919" s="9" t="s">
        <v>2590</v>
      </c>
      <c r="G919" s="8" t="s">
        <v>2590</v>
      </c>
      <c r="H919" s="15"/>
      <c r="I919" s="15"/>
      <c r="J919" s="10"/>
      <c r="K919" s="10"/>
      <c r="L919" s="10"/>
      <c r="M919" s="11" t="str">
        <f aca="false">IF(COUNTA(J919:L919)&lt;3,"",IF(COUNTIF(J919:L919,"유지")=3,"채택","제외"))</f>
        <v/>
      </c>
      <c r="N919" s="12"/>
    </row>
    <row r="920" customFormat="false" ht="15" hidden="false" customHeight="false" outlineLevel="0" collapsed="false">
      <c r="A920" s="7" t="n">
        <v>919</v>
      </c>
      <c r="B920" s="7" t="s">
        <v>1967</v>
      </c>
      <c r="C920" s="7" t="s">
        <v>2585</v>
      </c>
      <c r="D920" s="7" t="s">
        <v>2591</v>
      </c>
      <c r="E920" s="8" t="s">
        <v>2592</v>
      </c>
      <c r="F920" s="9" t="s">
        <v>2593</v>
      </c>
      <c r="G920" s="8" t="s">
        <v>2593</v>
      </c>
      <c r="H920" s="15"/>
      <c r="I920" s="15"/>
      <c r="J920" s="10"/>
      <c r="K920" s="10"/>
      <c r="L920" s="10"/>
      <c r="M920" s="11" t="str">
        <f aca="false">IF(COUNTA(J920:L920)&lt;3,"",IF(COUNTIF(J920:L920,"유지")=3,"채택","제외"))</f>
        <v/>
      </c>
      <c r="N920" s="12"/>
    </row>
    <row r="921" customFormat="false" ht="15" hidden="false" customHeight="false" outlineLevel="0" collapsed="false">
      <c r="A921" s="7" t="n">
        <v>920</v>
      </c>
      <c r="B921" s="7" t="s">
        <v>1967</v>
      </c>
      <c r="C921" s="7" t="s">
        <v>2585</v>
      </c>
      <c r="D921" s="7" t="s">
        <v>2594</v>
      </c>
      <c r="E921" s="8" t="s">
        <v>1994</v>
      </c>
      <c r="F921" s="9" t="s">
        <v>1995</v>
      </c>
      <c r="G921" s="8" t="s">
        <v>1995</v>
      </c>
      <c r="H921" s="13" t="s">
        <v>87</v>
      </c>
      <c r="I921" s="14"/>
      <c r="J921" s="10"/>
      <c r="K921" s="10"/>
      <c r="L921" s="10"/>
      <c r="M921" s="11" t="str">
        <f aca="false">IF(COUNTA(J921:L921)&lt;3,"",IF(COUNTIF(J921:L921,"유지")=3,"채택","제외"))</f>
        <v/>
      </c>
      <c r="N921" s="12"/>
    </row>
    <row r="922" customFormat="false" ht="15" hidden="false" customHeight="false" outlineLevel="0" collapsed="false">
      <c r="A922" s="7" t="n">
        <v>921</v>
      </c>
      <c r="B922" s="7" t="s">
        <v>1967</v>
      </c>
      <c r="C922" s="7" t="s">
        <v>2585</v>
      </c>
      <c r="D922" s="7" t="s">
        <v>2595</v>
      </c>
      <c r="E922" s="8" t="s">
        <v>2596</v>
      </c>
      <c r="F922" s="9" t="s">
        <v>2597</v>
      </c>
      <c r="G922" s="8" t="s">
        <v>2597</v>
      </c>
      <c r="H922" s="15"/>
      <c r="I922" s="15"/>
      <c r="J922" s="10"/>
      <c r="K922" s="10"/>
      <c r="L922" s="10"/>
      <c r="M922" s="11" t="str">
        <f aca="false">IF(COUNTA(J922:L922)&lt;3,"",IF(COUNTIF(J922:L922,"유지")=3,"채택","제외"))</f>
        <v/>
      </c>
      <c r="N922" s="12"/>
    </row>
    <row r="923" customFormat="false" ht="15" hidden="false" customHeight="false" outlineLevel="0" collapsed="false">
      <c r="A923" s="7" t="n">
        <v>922</v>
      </c>
      <c r="B923" s="7" t="s">
        <v>1967</v>
      </c>
      <c r="C923" s="7" t="s">
        <v>2585</v>
      </c>
      <c r="D923" s="7" t="s">
        <v>2598</v>
      </c>
      <c r="E923" s="8" t="s">
        <v>2599</v>
      </c>
      <c r="F923" s="9" t="s">
        <v>2600</v>
      </c>
      <c r="G923" s="8" t="s">
        <v>2600</v>
      </c>
      <c r="H923" s="15"/>
      <c r="I923" s="15"/>
      <c r="J923" s="10"/>
      <c r="K923" s="10"/>
      <c r="L923" s="10"/>
      <c r="M923" s="11" t="str">
        <f aca="false">IF(COUNTA(J923:L923)&lt;3,"",IF(COUNTIF(J923:L923,"유지")=3,"채택","제외"))</f>
        <v/>
      </c>
      <c r="N923" s="12"/>
    </row>
    <row r="924" customFormat="false" ht="15" hidden="false" customHeight="false" outlineLevel="0" collapsed="false">
      <c r="A924" s="7" t="n">
        <v>923</v>
      </c>
      <c r="B924" s="7" t="s">
        <v>1967</v>
      </c>
      <c r="C924" s="7" t="s">
        <v>2585</v>
      </c>
      <c r="D924" s="7" t="s">
        <v>2601</v>
      </c>
      <c r="E924" s="8" t="s">
        <v>2602</v>
      </c>
      <c r="F924" s="9" t="s">
        <v>2603</v>
      </c>
      <c r="G924" s="8" t="s">
        <v>2603</v>
      </c>
      <c r="H924" s="15"/>
      <c r="I924" s="15"/>
      <c r="J924" s="10"/>
      <c r="K924" s="10"/>
      <c r="L924" s="10"/>
      <c r="M924" s="11" t="str">
        <f aca="false">IF(COUNTA(J924:L924)&lt;3,"",IF(COUNTIF(J924:L924,"유지")=3,"채택","제외"))</f>
        <v/>
      </c>
      <c r="N924" s="12"/>
    </row>
    <row r="925" customFormat="false" ht="15" hidden="false" customHeight="false" outlineLevel="0" collapsed="false">
      <c r="A925" s="7" t="n">
        <v>924</v>
      </c>
      <c r="B925" s="7" t="s">
        <v>1967</v>
      </c>
      <c r="C925" s="7" t="s">
        <v>2585</v>
      </c>
      <c r="D925" s="7" t="s">
        <v>2601</v>
      </c>
      <c r="E925" s="8" t="s">
        <v>2604</v>
      </c>
      <c r="F925" s="9" t="s">
        <v>2605</v>
      </c>
      <c r="G925" s="8" t="s">
        <v>2605</v>
      </c>
      <c r="H925" s="13" t="s">
        <v>74</v>
      </c>
      <c r="I925" s="14"/>
      <c r="J925" s="10"/>
      <c r="K925" s="10"/>
      <c r="L925" s="10"/>
      <c r="M925" s="11" t="str">
        <f aca="false">IF(COUNTA(J925:L925)&lt;3,"",IF(COUNTIF(J925:L925,"유지")=3,"채택","제외"))</f>
        <v/>
      </c>
      <c r="N925" s="12"/>
    </row>
    <row r="926" customFormat="false" ht="15" hidden="false" customHeight="false" outlineLevel="0" collapsed="false">
      <c r="A926" s="7" t="n">
        <v>925</v>
      </c>
      <c r="B926" s="7" t="s">
        <v>1967</v>
      </c>
      <c r="C926" s="7" t="s">
        <v>2585</v>
      </c>
      <c r="D926" s="7" t="s">
        <v>2606</v>
      </c>
      <c r="E926" s="8" t="s">
        <v>2607</v>
      </c>
      <c r="F926" s="9" t="s">
        <v>2608</v>
      </c>
      <c r="G926" s="8" t="s">
        <v>2608</v>
      </c>
      <c r="H926" s="15"/>
      <c r="I926" s="15"/>
      <c r="J926" s="10"/>
      <c r="K926" s="10"/>
      <c r="L926" s="10"/>
      <c r="M926" s="11" t="str">
        <f aca="false">IF(COUNTA(J926:L926)&lt;3,"",IF(COUNTIF(J926:L926,"유지")=3,"채택","제외"))</f>
        <v/>
      </c>
      <c r="N926" s="12"/>
    </row>
    <row r="927" customFormat="false" ht="15" hidden="false" customHeight="false" outlineLevel="0" collapsed="false">
      <c r="A927" s="7" t="n">
        <v>926</v>
      </c>
      <c r="B927" s="7" t="s">
        <v>1967</v>
      </c>
      <c r="C927" s="7" t="s">
        <v>2585</v>
      </c>
      <c r="D927" s="7" t="s">
        <v>2609</v>
      </c>
      <c r="E927" s="8" t="s">
        <v>2586</v>
      </c>
      <c r="F927" s="9" t="s">
        <v>2587</v>
      </c>
      <c r="G927" s="8" t="s">
        <v>2587</v>
      </c>
      <c r="H927" s="13" t="s">
        <v>87</v>
      </c>
      <c r="I927" s="14"/>
      <c r="J927" s="10"/>
      <c r="K927" s="10"/>
      <c r="L927" s="10"/>
      <c r="M927" s="11" t="str">
        <f aca="false">IF(COUNTA(J927:L927)&lt;3,"",IF(COUNTIF(J927:L927,"유지")=3,"채택","제외"))</f>
        <v/>
      </c>
      <c r="N927" s="12"/>
    </row>
    <row r="928" customFormat="false" ht="15" hidden="false" customHeight="false" outlineLevel="0" collapsed="false">
      <c r="A928" s="7" t="n">
        <v>927</v>
      </c>
      <c r="B928" s="7" t="s">
        <v>1967</v>
      </c>
      <c r="C928" s="7" t="s">
        <v>2585</v>
      </c>
      <c r="D928" s="7" t="s">
        <v>2610</v>
      </c>
      <c r="E928" s="8" t="s">
        <v>2611</v>
      </c>
      <c r="F928" s="9" t="s">
        <v>2612</v>
      </c>
      <c r="G928" s="8" t="s">
        <v>2612</v>
      </c>
      <c r="H928" s="13" t="s">
        <v>87</v>
      </c>
      <c r="I928" s="14"/>
      <c r="J928" s="10"/>
      <c r="K928" s="10"/>
      <c r="L928" s="10"/>
      <c r="M928" s="11" t="str">
        <f aca="false">IF(COUNTA(J928:L928)&lt;3,"",IF(COUNTIF(J928:L928,"유지")=3,"채택","제외"))</f>
        <v/>
      </c>
      <c r="N928" s="12"/>
    </row>
    <row r="929" customFormat="false" ht="15" hidden="false" customHeight="false" outlineLevel="0" collapsed="false">
      <c r="A929" s="7" t="n">
        <v>928</v>
      </c>
      <c r="B929" s="7" t="s">
        <v>1967</v>
      </c>
      <c r="C929" s="7" t="s">
        <v>2585</v>
      </c>
      <c r="D929" s="7" t="s">
        <v>2613</v>
      </c>
      <c r="E929" s="8" t="s">
        <v>2614</v>
      </c>
      <c r="F929" s="9" t="s">
        <v>2615</v>
      </c>
      <c r="G929" s="8" t="s">
        <v>2615</v>
      </c>
      <c r="H929" s="14"/>
      <c r="I929" s="14" t="s">
        <v>2616</v>
      </c>
      <c r="J929" s="10"/>
      <c r="K929" s="10"/>
      <c r="L929" s="10"/>
      <c r="M929" s="11" t="str">
        <f aca="false">IF(COUNTA(J929:L929)&lt;3,"",IF(COUNTIF(J929:L929,"유지")=3,"채택","제외"))</f>
        <v/>
      </c>
      <c r="N929" s="12"/>
    </row>
    <row r="930" customFormat="false" ht="15" hidden="false" customHeight="false" outlineLevel="0" collapsed="false">
      <c r="A930" s="7" t="n">
        <v>929</v>
      </c>
      <c r="B930" s="7" t="s">
        <v>1967</v>
      </c>
      <c r="C930" s="7" t="s">
        <v>2585</v>
      </c>
      <c r="D930" s="7" t="s">
        <v>2617</v>
      </c>
      <c r="E930" s="8" t="s">
        <v>2618</v>
      </c>
      <c r="F930" s="9" t="s">
        <v>2619</v>
      </c>
      <c r="G930" s="8" t="s">
        <v>2620</v>
      </c>
      <c r="H930" s="13" t="s">
        <v>74</v>
      </c>
      <c r="I930" s="14"/>
      <c r="J930" s="10"/>
      <c r="K930" s="10"/>
      <c r="L930" s="10"/>
      <c r="M930" s="11" t="str">
        <f aca="false">IF(COUNTA(J930:L930)&lt;3,"",IF(COUNTIF(J930:L930,"유지")=3,"채택","제외"))</f>
        <v/>
      </c>
      <c r="N930" s="12"/>
    </row>
    <row r="931" customFormat="false" ht="15" hidden="false" customHeight="false" outlineLevel="0" collapsed="false">
      <c r="A931" s="7" t="n">
        <v>930</v>
      </c>
      <c r="B931" s="7" t="s">
        <v>1967</v>
      </c>
      <c r="C931" s="7" t="s">
        <v>2585</v>
      </c>
      <c r="D931" s="7" t="s">
        <v>2621</v>
      </c>
      <c r="E931" s="8" t="s">
        <v>2622</v>
      </c>
      <c r="F931" s="9" t="s">
        <v>2623</v>
      </c>
      <c r="G931" s="8" t="s">
        <v>2623</v>
      </c>
      <c r="H931" s="15"/>
      <c r="I931" s="15"/>
      <c r="J931" s="10"/>
      <c r="K931" s="10"/>
      <c r="L931" s="10"/>
      <c r="M931" s="11" t="str">
        <f aca="false">IF(COUNTA(J931:L931)&lt;3,"",IF(COUNTIF(J931:L931,"유지")=3,"채택","제외"))</f>
        <v/>
      </c>
      <c r="N931" s="12"/>
    </row>
    <row r="932" customFormat="false" ht="15" hidden="false" customHeight="false" outlineLevel="0" collapsed="false">
      <c r="A932" s="7" t="n">
        <v>931</v>
      </c>
      <c r="B932" s="7" t="s">
        <v>1967</v>
      </c>
      <c r="C932" s="7" t="s">
        <v>2585</v>
      </c>
      <c r="D932" s="7" t="s">
        <v>2624</v>
      </c>
      <c r="E932" s="8" t="s">
        <v>2625</v>
      </c>
      <c r="F932" s="9" t="s">
        <v>2626</v>
      </c>
      <c r="G932" s="8" t="s">
        <v>2627</v>
      </c>
      <c r="H932" s="13" t="s">
        <v>74</v>
      </c>
      <c r="I932" s="14"/>
      <c r="J932" s="10"/>
      <c r="K932" s="10"/>
      <c r="L932" s="10"/>
      <c r="M932" s="11" t="str">
        <f aca="false">IF(COUNTA(J932:L932)&lt;3,"",IF(COUNTIF(J932:L932,"유지")=3,"채택","제외"))</f>
        <v/>
      </c>
      <c r="N932" s="12"/>
    </row>
    <row r="933" customFormat="false" ht="15" hidden="false" customHeight="false" outlineLevel="0" collapsed="false">
      <c r="A933" s="7" t="n">
        <v>932</v>
      </c>
      <c r="B933" s="7" t="s">
        <v>1967</v>
      </c>
      <c r="C933" s="7" t="s">
        <v>2585</v>
      </c>
      <c r="D933" s="7" t="s">
        <v>2628</v>
      </c>
      <c r="E933" s="8" t="s">
        <v>2629</v>
      </c>
      <c r="F933" s="9" t="s">
        <v>2630</v>
      </c>
      <c r="G933" s="8" t="s">
        <v>2630</v>
      </c>
      <c r="H933" s="15"/>
      <c r="I933" s="15"/>
      <c r="J933" s="10"/>
      <c r="K933" s="10"/>
      <c r="L933" s="10"/>
      <c r="M933" s="11" t="str">
        <f aca="false">IF(COUNTA(J933:L933)&lt;3,"",IF(COUNTIF(J933:L933,"유지")=3,"채택","제외"))</f>
        <v/>
      </c>
      <c r="N933" s="12"/>
    </row>
    <row r="934" customFormat="false" ht="15" hidden="false" customHeight="false" outlineLevel="0" collapsed="false">
      <c r="A934" s="7" t="n">
        <v>933</v>
      </c>
      <c r="B934" s="7" t="s">
        <v>1967</v>
      </c>
      <c r="C934" s="7" t="s">
        <v>2585</v>
      </c>
      <c r="D934" s="7" t="s">
        <v>2631</v>
      </c>
      <c r="E934" s="8" t="s">
        <v>2632</v>
      </c>
      <c r="F934" s="9" t="s">
        <v>2633</v>
      </c>
      <c r="G934" s="8" t="s">
        <v>2633</v>
      </c>
      <c r="H934" s="15"/>
      <c r="I934" s="15"/>
      <c r="J934" s="10"/>
      <c r="K934" s="10"/>
      <c r="L934" s="10"/>
      <c r="M934" s="11" t="str">
        <f aca="false">IF(COUNTA(J934:L934)&lt;3,"",IF(COUNTIF(J934:L934,"유지")=3,"채택","제외"))</f>
        <v/>
      </c>
      <c r="N934" s="12"/>
    </row>
    <row r="935" customFormat="false" ht="15" hidden="false" customHeight="false" outlineLevel="0" collapsed="false">
      <c r="A935" s="7" t="n">
        <v>934</v>
      </c>
      <c r="B935" s="7" t="s">
        <v>1967</v>
      </c>
      <c r="C935" s="7" t="s">
        <v>2585</v>
      </c>
      <c r="D935" s="7" t="s">
        <v>2634</v>
      </c>
      <c r="E935" s="8" t="s">
        <v>2635</v>
      </c>
      <c r="F935" s="9" t="s">
        <v>2636</v>
      </c>
      <c r="G935" s="8" t="s">
        <v>2636</v>
      </c>
      <c r="H935" s="15"/>
      <c r="I935" s="15"/>
      <c r="J935" s="10"/>
      <c r="K935" s="10"/>
      <c r="L935" s="10"/>
      <c r="M935" s="11" t="str">
        <f aca="false">IF(COUNTA(J935:L935)&lt;3,"",IF(COUNTIF(J935:L935,"유지")=3,"채택","제외"))</f>
        <v/>
      </c>
      <c r="N935" s="12"/>
    </row>
    <row r="936" customFormat="false" ht="15" hidden="false" customHeight="false" outlineLevel="0" collapsed="false">
      <c r="A936" s="7" t="n">
        <v>935</v>
      </c>
      <c r="B936" s="7" t="s">
        <v>1967</v>
      </c>
      <c r="C936" s="7" t="s">
        <v>2585</v>
      </c>
      <c r="D936" s="7" t="s">
        <v>2637</v>
      </c>
      <c r="E936" s="8" t="s">
        <v>2638</v>
      </c>
      <c r="F936" s="9" t="s">
        <v>2639</v>
      </c>
      <c r="G936" s="8" t="s">
        <v>2639</v>
      </c>
      <c r="H936" s="15"/>
      <c r="I936" s="15"/>
      <c r="J936" s="10"/>
      <c r="K936" s="10"/>
      <c r="L936" s="10"/>
      <c r="M936" s="11" t="str">
        <f aca="false">IF(COUNTA(J936:L936)&lt;3,"",IF(COUNTIF(J936:L936,"유지")=3,"채택","제외"))</f>
        <v/>
      </c>
      <c r="N936" s="12"/>
    </row>
    <row r="937" customFormat="false" ht="15" hidden="false" customHeight="false" outlineLevel="0" collapsed="false">
      <c r="A937" s="7" t="n">
        <v>936</v>
      </c>
      <c r="B937" s="7" t="s">
        <v>1967</v>
      </c>
      <c r="C937" s="7" t="s">
        <v>2585</v>
      </c>
      <c r="D937" s="7" t="s">
        <v>2640</v>
      </c>
      <c r="E937" s="8" t="s">
        <v>2641</v>
      </c>
      <c r="F937" s="9" t="s">
        <v>2642</v>
      </c>
      <c r="G937" s="8" t="s">
        <v>2642</v>
      </c>
      <c r="H937" s="15"/>
      <c r="I937" s="15"/>
      <c r="J937" s="10"/>
      <c r="K937" s="10"/>
      <c r="L937" s="10"/>
      <c r="M937" s="11" t="str">
        <f aca="false">IF(COUNTA(J937:L937)&lt;3,"",IF(COUNTIF(J937:L937,"유지")=3,"채택","제외"))</f>
        <v/>
      </c>
      <c r="N937" s="12"/>
    </row>
    <row r="938" customFormat="false" ht="15" hidden="false" customHeight="false" outlineLevel="0" collapsed="false">
      <c r="A938" s="7" t="n">
        <v>937</v>
      </c>
      <c r="B938" s="7" t="s">
        <v>1967</v>
      </c>
      <c r="C938" s="7" t="s">
        <v>2585</v>
      </c>
      <c r="D938" s="7" t="s">
        <v>2643</v>
      </c>
      <c r="E938" s="8" t="s">
        <v>1234</v>
      </c>
      <c r="F938" s="9" t="s">
        <v>1235</v>
      </c>
      <c r="G938" s="8" t="s">
        <v>1235</v>
      </c>
      <c r="H938" s="13" t="s">
        <v>1204</v>
      </c>
      <c r="I938" s="14"/>
      <c r="J938" s="10"/>
      <c r="K938" s="10"/>
      <c r="L938" s="10"/>
      <c r="M938" s="11" t="str">
        <f aca="false">IF(COUNTA(J938:L938)&lt;3,"",IF(COUNTIF(J938:L938,"유지")=3,"채택","제외"))</f>
        <v/>
      </c>
      <c r="N938" s="12"/>
    </row>
    <row r="939" customFormat="false" ht="15" hidden="false" customHeight="false" outlineLevel="0" collapsed="false">
      <c r="A939" s="7" t="n">
        <v>938</v>
      </c>
      <c r="B939" s="7" t="s">
        <v>1967</v>
      </c>
      <c r="C939" s="7" t="s">
        <v>2585</v>
      </c>
      <c r="D939" s="7" t="s">
        <v>2644</v>
      </c>
      <c r="E939" s="8" t="s">
        <v>2645</v>
      </c>
      <c r="F939" s="9" t="s">
        <v>2646</v>
      </c>
      <c r="G939" s="8" t="s">
        <v>2646</v>
      </c>
      <c r="H939" s="13" t="s">
        <v>87</v>
      </c>
      <c r="I939" s="14"/>
      <c r="J939" s="10"/>
      <c r="K939" s="10"/>
      <c r="L939" s="10"/>
      <c r="M939" s="11" t="str">
        <f aca="false">IF(COUNTA(J939:L939)&lt;3,"",IF(COUNTIF(J939:L939,"유지")=3,"채택","제외"))</f>
        <v/>
      </c>
      <c r="N939" s="12"/>
    </row>
    <row r="940" customFormat="false" ht="15" hidden="false" customHeight="false" outlineLevel="0" collapsed="false">
      <c r="A940" s="7" t="n">
        <v>939</v>
      </c>
      <c r="B940" s="7" t="s">
        <v>1967</v>
      </c>
      <c r="C940" s="7" t="s">
        <v>2585</v>
      </c>
      <c r="D940" s="7" t="s">
        <v>2647</v>
      </c>
      <c r="E940" s="8" t="s">
        <v>2648</v>
      </c>
      <c r="F940" s="9" t="s">
        <v>2649</v>
      </c>
      <c r="G940" s="8" t="s">
        <v>2649</v>
      </c>
      <c r="H940" s="15"/>
      <c r="I940" s="15"/>
      <c r="J940" s="10"/>
      <c r="K940" s="10"/>
      <c r="L940" s="10"/>
      <c r="M940" s="11" t="str">
        <f aca="false">IF(COUNTA(J940:L940)&lt;3,"",IF(COUNTIF(J940:L940,"유지")=3,"채택","제외"))</f>
        <v/>
      </c>
      <c r="N940" s="12"/>
    </row>
    <row r="941" customFormat="false" ht="15" hidden="false" customHeight="false" outlineLevel="0" collapsed="false">
      <c r="A941" s="7" t="n">
        <v>940</v>
      </c>
      <c r="B941" s="7" t="s">
        <v>1967</v>
      </c>
      <c r="C941" s="7" t="s">
        <v>2585</v>
      </c>
      <c r="D941" s="7" t="s">
        <v>2650</v>
      </c>
      <c r="E941" s="8" t="s">
        <v>2645</v>
      </c>
      <c r="F941" s="9" t="s">
        <v>2646</v>
      </c>
      <c r="G941" s="8" t="s">
        <v>2646</v>
      </c>
      <c r="H941" s="13" t="s">
        <v>87</v>
      </c>
      <c r="I941" s="14"/>
      <c r="J941" s="10"/>
      <c r="K941" s="10"/>
      <c r="L941" s="10"/>
      <c r="M941" s="11" t="str">
        <f aca="false">IF(COUNTA(J941:L941)&lt;3,"",IF(COUNTIF(J941:L941,"유지")=3,"채택","제외"))</f>
        <v/>
      </c>
      <c r="N941" s="12"/>
    </row>
    <row r="942" customFormat="false" ht="15" hidden="false" customHeight="false" outlineLevel="0" collapsed="false">
      <c r="A942" s="7" t="n">
        <v>941</v>
      </c>
      <c r="B942" s="7" t="s">
        <v>1967</v>
      </c>
      <c r="C942" s="7" t="s">
        <v>2585</v>
      </c>
      <c r="D942" s="7" t="s">
        <v>2651</v>
      </c>
      <c r="E942" s="8" t="s">
        <v>2645</v>
      </c>
      <c r="F942" s="9" t="s">
        <v>2646</v>
      </c>
      <c r="G942" s="8" t="s">
        <v>2646</v>
      </c>
      <c r="H942" s="13" t="s">
        <v>87</v>
      </c>
      <c r="I942" s="14"/>
      <c r="J942" s="10"/>
      <c r="K942" s="10"/>
      <c r="L942" s="10"/>
      <c r="M942" s="11" t="str">
        <f aca="false">IF(COUNTA(J942:L942)&lt;3,"",IF(COUNTIF(J942:L942,"유지")=3,"채택","제외"))</f>
        <v/>
      </c>
      <c r="N942" s="12"/>
    </row>
    <row r="943" customFormat="false" ht="15" hidden="false" customHeight="false" outlineLevel="0" collapsed="false">
      <c r="A943" s="7" t="n">
        <v>942</v>
      </c>
      <c r="B943" s="7" t="s">
        <v>1967</v>
      </c>
      <c r="C943" s="7" t="s">
        <v>2585</v>
      </c>
      <c r="D943" s="7" t="s">
        <v>2652</v>
      </c>
      <c r="E943" s="8" t="s">
        <v>2645</v>
      </c>
      <c r="F943" s="9" t="s">
        <v>2646</v>
      </c>
      <c r="G943" s="8" t="s">
        <v>2646</v>
      </c>
      <c r="H943" s="13" t="s">
        <v>87</v>
      </c>
      <c r="I943" s="14"/>
      <c r="J943" s="10"/>
      <c r="K943" s="10"/>
      <c r="L943" s="10"/>
      <c r="M943" s="11" t="str">
        <f aca="false">IF(COUNTA(J943:L943)&lt;3,"",IF(COUNTIF(J943:L943,"유지")=3,"채택","제외"))</f>
        <v/>
      </c>
      <c r="N943" s="12"/>
    </row>
    <row r="944" customFormat="false" ht="15" hidden="false" customHeight="false" outlineLevel="0" collapsed="false">
      <c r="A944" s="7" t="n">
        <v>943</v>
      </c>
      <c r="B944" s="7" t="s">
        <v>1967</v>
      </c>
      <c r="C944" s="7" t="s">
        <v>2585</v>
      </c>
      <c r="D944" s="7" t="s">
        <v>2653</v>
      </c>
      <c r="E944" s="8" t="s">
        <v>2654</v>
      </c>
      <c r="F944" s="9" t="s">
        <v>2655</v>
      </c>
      <c r="G944" s="8" t="s">
        <v>2655</v>
      </c>
      <c r="H944" s="15"/>
      <c r="I944" s="15"/>
      <c r="J944" s="10"/>
      <c r="K944" s="10"/>
      <c r="L944" s="10"/>
      <c r="M944" s="11" t="str">
        <f aca="false">IF(COUNTA(J944:L944)&lt;3,"",IF(COUNTIF(J944:L944,"유지")=3,"채택","제외"))</f>
        <v/>
      </c>
      <c r="N944" s="12"/>
    </row>
    <row r="945" customFormat="false" ht="15" hidden="false" customHeight="false" outlineLevel="0" collapsed="false">
      <c r="A945" s="7" t="n">
        <v>944</v>
      </c>
      <c r="B945" s="7" t="s">
        <v>1967</v>
      </c>
      <c r="C945" s="7" t="s">
        <v>2585</v>
      </c>
      <c r="D945" s="7" t="s">
        <v>2656</v>
      </c>
      <c r="E945" s="8" t="s">
        <v>2657</v>
      </c>
      <c r="F945" s="9" t="s">
        <v>2658</v>
      </c>
      <c r="G945" s="8" t="s">
        <v>2658</v>
      </c>
      <c r="H945" s="15"/>
      <c r="I945" s="15"/>
      <c r="J945" s="10"/>
      <c r="K945" s="10"/>
      <c r="L945" s="10"/>
      <c r="M945" s="11" t="str">
        <f aca="false">IF(COUNTA(J945:L945)&lt;3,"",IF(COUNTIF(J945:L945,"유지")=3,"채택","제외"))</f>
        <v/>
      </c>
      <c r="N945" s="12"/>
    </row>
    <row r="946" customFormat="false" ht="15" hidden="false" customHeight="false" outlineLevel="0" collapsed="false">
      <c r="A946" s="7" t="n">
        <v>945</v>
      </c>
      <c r="B946" s="7" t="s">
        <v>1967</v>
      </c>
      <c r="C946" s="7" t="s">
        <v>2585</v>
      </c>
      <c r="D946" s="7" t="s">
        <v>2659</v>
      </c>
      <c r="E946" s="8" t="s">
        <v>2660</v>
      </c>
      <c r="F946" s="9" t="s">
        <v>2661</v>
      </c>
      <c r="G946" s="8" t="s">
        <v>2661</v>
      </c>
      <c r="H946" s="13" t="s">
        <v>74</v>
      </c>
      <c r="I946" s="14"/>
      <c r="J946" s="10"/>
      <c r="K946" s="10"/>
      <c r="L946" s="10"/>
      <c r="M946" s="11" t="str">
        <f aca="false">IF(COUNTA(J946:L946)&lt;3,"",IF(COUNTIF(J946:L946,"유지")=3,"채택","제외"))</f>
        <v/>
      </c>
      <c r="N946" s="12"/>
    </row>
    <row r="947" customFormat="false" ht="15" hidden="false" customHeight="false" outlineLevel="0" collapsed="false">
      <c r="A947" s="7" t="n">
        <v>946</v>
      </c>
      <c r="B947" s="7" t="s">
        <v>1967</v>
      </c>
      <c r="C947" s="7" t="s">
        <v>2585</v>
      </c>
      <c r="D947" s="7" t="s">
        <v>2662</v>
      </c>
      <c r="E947" s="8" t="s">
        <v>2663</v>
      </c>
      <c r="F947" s="9" t="s">
        <v>2664</v>
      </c>
      <c r="G947" s="8" t="s">
        <v>2664</v>
      </c>
      <c r="H947" s="15"/>
      <c r="I947" s="15"/>
      <c r="J947" s="10"/>
      <c r="K947" s="10"/>
      <c r="L947" s="10"/>
      <c r="M947" s="11" t="str">
        <f aca="false">IF(COUNTA(J947:L947)&lt;3,"",IF(COUNTIF(J947:L947,"유지")=3,"채택","제외"))</f>
        <v/>
      </c>
      <c r="N947" s="12"/>
    </row>
    <row r="948" customFormat="false" ht="15" hidden="false" customHeight="false" outlineLevel="0" collapsed="false">
      <c r="A948" s="7" t="n">
        <v>947</v>
      </c>
      <c r="B948" s="7" t="s">
        <v>1967</v>
      </c>
      <c r="C948" s="7" t="s">
        <v>2585</v>
      </c>
      <c r="D948" s="7" t="s">
        <v>2665</v>
      </c>
      <c r="E948" s="8" t="s">
        <v>2666</v>
      </c>
      <c r="F948" s="9" t="s">
        <v>2667</v>
      </c>
      <c r="G948" s="8" t="s">
        <v>2667</v>
      </c>
      <c r="H948" s="15"/>
      <c r="I948" s="15"/>
      <c r="J948" s="10"/>
      <c r="K948" s="10"/>
      <c r="L948" s="10"/>
      <c r="M948" s="11" t="str">
        <f aca="false">IF(COUNTA(J948:L948)&lt;3,"",IF(COUNTIF(J948:L948,"유지")=3,"채택","제외"))</f>
        <v/>
      </c>
      <c r="N948" s="12"/>
    </row>
    <row r="949" customFormat="false" ht="15" hidden="false" customHeight="false" outlineLevel="0" collapsed="false">
      <c r="A949" s="7" t="n">
        <v>948</v>
      </c>
      <c r="B949" s="7" t="s">
        <v>1967</v>
      </c>
      <c r="C949" s="7" t="s">
        <v>2585</v>
      </c>
      <c r="D949" s="7" t="s">
        <v>2668</v>
      </c>
      <c r="E949" s="8" t="s">
        <v>2669</v>
      </c>
      <c r="F949" s="9" t="s">
        <v>2670</v>
      </c>
      <c r="G949" s="8" t="s">
        <v>2670</v>
      </c>
      <c r="H949" s="15"/>
      <c r="I949" s="15"/>
      <c r="J949" s="10"/>
      <c r="K949" s="10"/>
      <c r="L949" s="10"/>
      <c r="M949" s="11" t="str">
        <f aca="false">IF(COUNTA(J949:L949)&lt;3,"",IF(COUNTIF(J949:L949,"유지")=3,"채택","제외"))</f>
        <v/>
      </c>
      <c r="N949" s="12"/>
    </row>
    <row r="950" customFormat="false" ht="15" hidden="false" customHeight="false" outlineLevel="0" collapsed="false">
      <c r="A950" s="7" t="n">
        <v>949</v>
      </c>
      <c r="B950" s="7" t="s">
        <v>1967</v>
      </c>
      <c r="C950" s="7" t="s">
        <v>2585</v>
      </c>
      <c r="D950" s="7" t="s">
        <v>2671</v>
      </c>
      <c r="E950" s="8" t="s">
        <v>2672</v>
      </c>
      <c r="F950" s="9" t="s">
        <v>2673</v>
      </c>
      <c r="G950" s="8" t="s">
        <v>2673</v>
      </c>
      <c r="H950" s="15"/>
      <c r="I950" s="15"/>
      <c r="J950" s="10"/>
      <c r="K950" s="10"/>
      <c r="L950" s="10"/>
      <c r="M950" s="11" t="str">
        <f aca="false">IF(COUNTA(J950:L950)&lt;3,"",IF(COUNTIF(J950:L950,"유지")=3,"채택","제외"))</f>
        <v/>
      </c>
      <c r="N950" s="12"/>
    </row>
    <row r="951" customFormat="false" ht="15" hidden="false" customHeight="false" outlineLevel="0" collapsed="false">
      <c r="A951" s="7" t="n">
        <v>950</v>
      </c>
      <c r="B951" s="7" t="s">
        <v>1967</v>
      </c>
      <c r="C951" s="7" t="s">
        <v>2585</v>
      </c>
      <c r="D951" s="7" t="s">
        <v>2674</v>
      </c>
      <c r="E951" s="8" t="s">
        <v>2675</v>
      </c>
      <c r="F951" s="9" t="s">
        <v>2676</v>
      </c>
      <c r="G951" s="8" t="s">
        <v>2676</v>
      </c>
      <c r="H951" s="15"/>
      <c r="I951" s="15"/>
      <c r="J951" s="10"/>
      <c r="K951" s="10"/>
      <c r="L951" s="10"/>
      <c r="M951" s="11" t="str">
        <f aca="false">IF(COUNTA(J951:L951)&lt;3,"",IF(COUNTIF(J951:L951,"유지")=3,"채택","제외"))</f>
        <v/>
      </c>
      <c r="N951" s="12"/>
    </row>
    <row r="952" customFormat="false" ht="15" hidden="false" customHeight="false" outlineLevel="0" collapsed="false">
      <c r="A952" s="7" t="n">
        <v>951</v>
      </c>
      <c r="B952" s="7" t="s">
        <v>1967</v>
      </c>
      <c r="C952" s="7" t="s">
        <v>2585</v>
      </c>
      <c r="D952" s="7" t="s">
        <v>2677</v>
      </c>
      <c r="E952" s="8" t="s">
        <v>2611</v>
      </c>
      <c r="F952" s="9" t="s">
        <v>2612</v>
      </c>
      <c r="G952" s="8" t="s">
        <v>2612</v>
      </c>
      <c r="H952" s="13" t="s">
        <v>87</v>
      </c>
      <c r="I952" s="14"/>
      <c r="J952" s="10"/>
      <c r="K952" s="10"/>
      <c r="L952" s="10"/>
      <c r="M952" s="11" t="str">
        <f aca="false">IF(COUNTA(J952:L952)&lt;3,"",IF(COUNTIF(J952:L952,"유지")=3,"채택","제외"))</f>
        <v/>
      </c>
      <c r="N952" s="12"/>
    </row>
    <row r="953" customFormat="false" ht="15" hidden="false" customHeight="false" outlineLevel="0" collapsed="false">
      <c r="A953" s="7" t="n">
        <v>952</v>
      </c>
      <c r="B953" s="7" t="s">
        <v>1967</v>
      </c>
      <c r="C953" s="7" t="s">
        <v>2585</v>
      </c>
      <c r="D953" s="7" t="s">
        <v>2678</v>
      </c>
      <c r="E953" s="8" t="s">
        <v>2679</v>
      </c>
      <c r="F953" s="9" t="s">
        <v>2680</v>
      </c>
      <c r="G953" s="8" t="s">
        <v>2680</v>
      </c>
      <c r="H953" s="15"/>
      <c r="I953" s="15"/>
      <c r="J953" s="10"/>
      <c r="K953" s="10"/>
      <c r="L953" s="10"/>
      <c r="M953" s="11" t="str">
        <f aca="false">IF(COUNTA(J953:L953)&lt;3,"",IF(COUNTIF(J953:L953,"유지")=3,"채택","제외"))</f>
        <v/>
      </c>
      <c r="N953" s="12"/>
    </row>
    <row r="954" customFormat="false" ht="15" hidden="false" customHeight="false" outlineLevel="0" collapsed="false">
      <c r="A954" s="7" t="n">
        <v>953</v>
      </c>
      <c r="B954" s="7" t="s">
        <v>1967</v>
      </c>
      <c r="C954" s="7" t="s">
        <v>2585</v>
      </c>
      <c r="D954" s="7" t="s">
        <v>2681</v>
      </c>
      <c r="E954" s="8" t="s">
        <v>2682</v>
      </c>
      <c r="F954" s="9" t="s">
        <v>2683</v>
      </c>
      <c r="G954" s="8" t="s">
        <v>815</v>
      </c>
      <c r="H954" s="13" t="s">
        <v>56</v>
      </c>
      <c r="I954" s="14"/>
      <c r="J954" s="10"/>
      <c r="K954" s="10"/>
      <c r="L954" s="10"/>
      <c r="M954" s="11" t="str">
        <f aca="false">IF(COUNTA(J954:L954)&lt;3,"",IF(COUNTIF(J954:L954,"유지")=3,"채택","제외"))</f>
        <v/>
      </c>
      <c r="N954" s="12"/>
    </row>
    <row r="955" customFormat="false" ht="15" hidden="false" customHeight="false" outlineLevel="0" collapsed="false">
      <c r="A955" s="7" t="n">
        <v>954</v>
      </c>
      <c r="B955" s="7" t="s">
        <v>1967</v>
      </c>
      <c r="C955" s="7" t="s">
        <v>2585</v>
      </c>
      <c r="D955" s="7" t="s">
        <v>2684</v>
      </c>
      <c r="E955" s="8" t="s">
        <v>2685</v>
      </c>
      <c r="F955" s="9" t="s">
        <v>2686</v>
      </c>
      <c r="G955" s="8" t="s">
        <v>2687</v>
      </c>
      <c r="H955" s="15"/>
      <c r="I955" s="15"/>
      <c r="J955" s="10"/>
      <c r="K955" s="10"/>
      <c r="L955" s="10"/>
      <c r="M955" s="11" t="str">
        <f aca="false">IF(COUNTA(J955:L955)&lt;3,"",IF(COUNTIF(J955:L955,"유지")=3,"채택","제외"))</f>
        <v/>
      </c>
      <c r="N955" s="12"/>
    </row>
    <row r="956" customFormat="false" ht="15" hidden="false" customHeight="false" outlineLevel="0" collapsed="false">
      <c r="A956" s="7" t="n">
        <v>955</v>
      </c>
      <c r="B956" s="7" t="s">
        <v>1967</v>
      </c>
      <c r="C956" s="7" t="s">
        <v>2585</v>
      </c>
      <c r="D956" s="7" t="s">
        <v>2688</v>
      </c>
      <c r="E956" s="8" t="s">
        <v>2689</v>
      </c>
      <c r="F956" s="9" t="s">
        <v>2690</v>
      </c>
      <c r="G956" s="8" t="s">
        <v>2690</v>
      </c>
      <c r="H956" s="15"/>
      <c r="I956" s="15"/>
      <c r="J956" s="10"/>
      <c r="K956" s="10"/>
      <c r="L956" s="10"/>
      <c r="M956" s="11" t="str">
        <f aca="false">IF(COUNTA(J956:L956)&lt;3,"",IF(COUNTIF(J956:L956,"유지")=3,"채택","제외"))</f>
        <v/>
      </c>
      <c r="N956" s="12"/>
    </row>
    <row r="957" customFormat="false" ht="29.85" hidden="false" customHeight="false" outlineLevel="0" collapsed="false">
      <c r="A957" s="7" t="n">
        <v>956</v>
      </c>
      <c r="B957" s="7" t="s">
        <v>1967</v>
      </c>
      <c r="C957" s="7" t="s">
        <v>2585</v>
      </c>
      <c r="D957" s="7" t="s">
        <v>2691</v>
      </c>
      <c r="E957" s="8" t="s">
        <v>2510</v>
      </c>
      <c r="F957" s="9" t="s">
        <v>2511</v>
      </c>
      <c r="G957" s="8" t="s">
        <v>2511</v>
      </c>
      <c r="H957" s="13" t="s">
        <v>87</v>
      </c>
      <c r="I957" s="14" t="s">
        <v>2512</v>
      </c>
      <c r="J957" s="10"/>
      <c r="K957" s="10"/>
      <c r="L957" s="10"/>
      <c r="M957" s="11" t="str">
        <f aca="false">IF(COUNTA(J957:L957)&lt;3,"",IF(COUNTIF(J957:L957,"유지")=3,"채택","제외"))</f>
        <v/>
      </c>
      <c r="N957" s="12"/>
    </row>
    <row r="958" customFormat="false" ht="15" hidden="false" customHeight="false" outlineLevel="0" collapsed="false">
      <c r="A958" s="7" t="n">
        <v>957</v>
      </c>
      <c r="B958" s="7" t="s">
        <v>1967</v>
      </c>
      <c r="C958" s="7" t="s">
        <v>2585</v>
      </c>
      <c r="D958" s="7" t="s">
        <v>2692</v>
      </c>
      <c r="E958" s="8" t="s">
        <v>2693</v>
      </c>
      <c r="F958" s="9" t="s">
        <v>2694</v>
      </c>
      <c r="G958" s="8" t="s">
        <v>2498</v>
      </c>
      <c r="H958" s="13" t="s">
        <v>87</v>
      </c>
      <c r="I958" s="14"/>
      <c r="J958" s="10"/>
      <c r="K958" s="10"/>
      <c r="L958" s="10"/>
      <c r="M958" s="11" t="str">
        <f aca="false">IF(COUNTA(J958:L958)&lt;3,"",IF(COUNTIF(J958:L958,"유지")=3,"채택","제외"))</f>
        <v/>
      </c>
      <c r="N958" s="12"/>
    </row>
    <row r="959" customFormat="false" ht="15" hidden="false" customHeight="false" outlineLevel="0" collapsed="false">
      <c r="A959" s="7" t="n">
        <v>958</v>
      </c>
      <c r="B959" s="7" t="s">
        <v>1967</v>
      </c>
      <c r="C959" s="7" t="s">
        <v>2585</v>
      </c>
      <c r="D959" s="7" t="s">
        <v>2695</v>
      </c>
      <c r="E959" s="8" t="s">
        <v>2696</v>
      </c>
      <c r="F959" s="9" t="s">
        <v>2697</v>
      </c>
      <c r="G959" s="8" t="s">
        <v>2697</v>
      </c>
      <c r="H959" s="15"/>
      <c r="I959" s="15"/>
      <c r="J959" s="10"/>
      <c r="K959" s="10"/>
      <c r="L959" s="10"/>
      <c r="M959" s="11" t="str">
        <f aca="false">IF(COUNTA(J959:L959)&lt;3,"",IF(COUNTIF(J959:L959,"유지")=3,"채택","제외"))</f>
        <v/>
      </c>
      <c r="N959" s="12"/>
    </row>
    <row r="960" customFormat="false" ht="15" hidden="false" customHeight="false" outlineLevel="0" collapsed="false">
      <c r="A960" s="7" t="n">
        <v>959</v>
      </c>
      <c r="B960" s="7" t="s">
        <v>1967</v>
      </c>
      <c r="C960" s="7" t="s">
        <v>2585</v>
      </c>
      <c r="D960" s="7" t="s">
        <v>2698</v>
      </c>
      <c r="E960" s="8" t="s">
        <v>2699</v>
      </c>
      <c r="F960" s="9" t="s">
        <v>2700</v>
      </c>
      <c r="G960" s="8" t="s">
        <v>2700</v>
      </c>
      <c r="H960" s="15"/>
      <c r="I960" s="15"/>
      <c r="J960" s="10"/>
      <c r="K960" s="10"/>
      <c r="L960" s="10"/>
      <c r="M960" s="11" t="str">
        <f aca="false">IF(COUNTA(J960:L960)&lt;3,"",IF(COUNTIF(J960:L960,"유지")=3,"채택","제외"))</f>
        <v/>
      </c>
      <c r="N960" s="12"/>
    </row>
    <row r="961" customFormat="false" ht="15" hidden="false" customHeight="false" outlineLevel="0" collapsed="false">
      <c r="A961" s="7" t="n">
        <v>960</v>
      </c>
      <c r="B961" s="7" t="s">
        <v>1967</v>
      </c>
      <c r="C961" s="7" t="s">
        <v>2585</v>
      </c>
      <c r="D961" s="7" t="s">
        <v>2701</v>
      </c>
      <c r="E961" s="8" t="s">
        <v>2702</v>
      </c>
      <c r="F961" s="9" t="s">
        <v>2703</v>
      </c>
      <c r="G961" s="8" t="s">
        <v>2703</v>
      </c>
      <c r="H961" s="15"/>
      <c r="I961" s="15"/>
      <c r="J961" s="10"/>
      <c r="K961" s="10"/>
      <c r="L961" s="10"/>
      <c r="M961" s="11" t="str">
        <f aca="false">IF(COUNTA(J961:L961)&lt;3,"",IF(COUNTIF(J961:L961,"유지")=3,"채택","제외"))</f>
        <v/>
      </c>
      <c r="N961" s="12"/>
    </row>
    <row r="962" customFormat="false" ht="15" hidden="false" customHeight="false" outlineLevel="0" collapsed="false">
      <c r="A962" s="7" t="n">
        <v>961</v>
      </c>
      <c r="B962" s="7" t="s">
        <v>1967</v>
      </c>
      <c r="C962" s="7" t="s">
        <v>2585</v>
      </c>
      <c r="D962" s="7" t="s">
        <v>2704</v>
      </c>
      <c r="E962" s="8" t="s">
        <v>2705</v>
      </c>
      <c r="F962" s="9" t="s">
        <v>2706</v>
      </c>
      <c r="G962" s="8" t="s">
        <v>2706</v>
      </c>
      <c r="H962" s="14" t="s">
        <v>500</v>
      </c>
      <c r="I962" s="14" t="s">
        <v>2707</v>
      </c>
      <c r="J962" s="10"/>
      <c r="K962" s="10"/>
      <c r="L962" s="10"/>
      <c r="M962" s="11" t="str">
        <f aca="false">IF(COUNTA(J962:L962)&lt;3,"",IF(COUNTIF(J962:L962,"유지")=3,"채택","제외"))</f>
        <v/>
      </c>
      <c r="N962" s="12"/>
    </row>
    <row r="963" customFormat="false" ht="15" hidden="false" customHeight="false" outlineLevel="0" collapsed="false">
      <c r="A963" s="7" t="n">
        <v>962</v>
      </c>
      <c r="B963" s="7" t="s">
        <v>1967</v>
      </c>
      <c r="C963" s="7" t="s">
        <v>2585</v>
      </c>
      <c r="D963" s="7" t="s">
        <v>2708</v>
      </c>
      <c r="E963" s="8" t="s">
        <v>2709</v>
      </c>
      <c r="F963" s="9" t="s">
        <v>2710</v>
      </c>
      <c r="G963" s="8" t="s">
        <v>2710</v>
      </c>
      <c r="H963" s="15"/>
      <c r="I963" s="15"/>
      <c r="J963" s="10"/>
      <c r="K963" s="10"/>
      <c r="L963" s="10"/>
      <c r="M963" s="11" t="str">
        <f aca="false">IF(COUNTA(J963:L963)&lt;3,"",IF(COUNTIF(J963:L963,"유지")=3,"채택","제외"))</f>
        <v/>
      </c>
      <c r="N963" s="12"/>
    </row>
  </sheetData>
  <autoFilter ref="A1:N963"/>
  <dataValidations count="1">
    <dataValidation allowBlank="true" errorStyle="stop" operator="between" showDropDown="false" showErrorMessage="false" showInputMessage="false" sqref="J2:L963" type="list">
      <formula1>"유지,제외,차원변경"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16" t="s">
        <v>20</v>
      </c>
      <c r="B1" s="16" t="s">
        <v>25</v>
      </c>
      <c r="C1" s="16" t="s">
        <v>2711</v>
      </c>
      <c r="D1" s="16" t="s">
        <v>2712</v>
      </c>
      <c r="E1" s="16" t="s">
        <v>22</v>
      </c>
      <c r="F1" s="16" t="s">
        <v>26</v>
      </c>
      <c r="G1" s="16" t="s">
        <v>27</v>
      </c>
    </row>
    <row r="2" customFormat="false" ht="15" hidden="false" customHeight="false" outlineLevel="0" collapsed="false">
      <c r="A2" s="7" t="s">
        <v>33</v>
      </c>
      <c r="B2" s="7" t="s">
        <v>324</v>
      </c>
      <c r="C2" s="7" t="s">
        <v>322</v>
      </c>
      <c r="D2" s="7" t="n">
        <v>1</v>
      </c>
      <c r="E2" s="15" t="s">
        <v>321</v>
      </c>
      <c r="F2" s="13" t="s">
        <v>74</v>
      </c>
      <c r="G2" s="14"/>
    </row>
    <row r="3" customFormat="false" ht="15" hidden="false" customHeight="false" outlineLevel="0" collapsed="false">
      <c r="A3" s="7" t="s">
        <v>33</v>
      </c>
      <c r="B3" s="7" t="s">
        <v>485</v>
      </c>
      <c r="C3" s="7" t="s">
        <v>484</v>
      </c>
      <c r="D3" s="7" t="n">
        <v>1</v>
      </c>
      <c r="E3" s="15" t="s">
        <v>484</v>
      </c>
      <c r="F3" s="15"/>
      <c r="G3" s="15"/>
    </row>
    <row r="4" customFormat="false" ht="15" hidden="false" customHeight="false" outlineLevel="0" collapsed="false">
      <c r="A4" s="7" t="s">
        <v>33</v>
      </c>
      <c r="B4" s="8" t="s">
        <v>441</v>
      </c>
      <c r="C4" s="8" t="s">
        <v>440</v>
      </c>
      <c r="D4" s="7" t="n">
        <v>1</v>
      </c>
      <c r="E4" s="15" t="s">
        <v>439</v>
      </c>
      <c r="F4" s="15"/>
      <c r="G4" s="15"/>
    </row>
    <row r="5" customFormat="false" ht="15" hidden="false" customHeight="false" outlineLevel="0" collapsed="false">
      <c r="A5" s="7" t="s">
        <v>33</v>
      </c>
      <c r="B5" s="8" t="s">
        <v>275</v>
      </c>
      <c r="C5" s="8" t="s">
        <v>274</v>
      </c>
      <c r="D5" s="7" t="n">
        <v>1</v>
      </c>
      <c r="E5" s="15" t="s">
        <v>271</v>
      </c>
      <c r="F5" s="15"/>
      <c r="G5" s="15"/>
    </row>
    <row r="6" customFormat="false" ht="15" hidden="false" customHeight="false" outlineLevel="0" collapsed="false">
      <c r="A6" s="7" t="s">
        <v>33</v>
      </c>
      <c r="B6" s="8" t="s">
        <v>748</v>
      </c>
      <c r="C6" s="8" t="s">
        <v>747</v>
      </c>
      <c r="D6" s="7" t="n">
        <v>1</v>
      </c>
      <c r="E6" s="15" t="s">
        <v>746</v>
      </c>
      <c r="F6" s="15"/>
      <c r="G6" s="15"/>
    </row>
    <row r="7" customFormat="false" ht="15" hidden="false" customHeight="false" outlineLevel="0" collapsed="false">
      <c r="A7" s="7" t="s">
        <v>33</v>
      </c>
      <c r="B7" s="8" t="s">
        <v>552</v>
      </c>
      <c r="C7" s="8" t="s">
        <v>551</v>
      </c>
      <c r="D7" s="7" t="n">
        <v>1</v>
      </c>
      <c r="E7" s="15" t="s">
        <v>550</v>
      </c>
      <c r="F7" s="13" t="s">
        <v>56</v>
      </c>
      <c r="G7" s="14" t="s">
        <v>553</v>
      </c>
    </row>
    <row r="8" customFormat="false" ht="15" hidden="false" customHeight="false" outlineLevel="0" collapsed="false">
      <c r="A8" s="7" t="s">
        <v>33</v>
      </c>
      <c r="B8" s="8" t="s">
        <v>546</v>
      </c>
      <c r="C8" s="8" t="s">
        <v>544</v>
      </c>
      <c r="D8" s="7" t="n">
        <v>1</v>
      </c>
      <c r="E8" s="15" t="s">
        <v>543</v>
      </c>
      <c r="F8" s="13" t="s">
        <v>74</v>
      </c>
      <c r="G8" s="14"/>
    </row>
    <row r="9" customFormat="false" ht="15" hidden="false" customHeight="false" outlineLevel="0" collapsed="false">
      <c r="A9" s="7" t="s">
        <v>33</v>
      </c>
      <c r="B9" s="8" t="s">
        <v>168</v>
      </c>
      <c r="C9" s="8" t="s">
        <v>167</v>
      </c>
      <c r="D9" s="7" t="n">
        <v>1</v>
      </c>
      <c r="E9" s="15" t="s">
        <v>166</v>
      </c>
      <c r="F9" s="15"/>
      <c r="G9" s="15"/>
    </row>
    <row r="10" customFormat="false" ht="15" hidden="false" customHeight="false" outlineLevel="0" collapsed="false">
      <c r="A10" s="7" t="s">
        <v>33</v>
      </c>
      <c r="B10" s="8" t="s">
        <v>797</v>
      </c>
      <c r="C10" s="8" t="s">
        <v>796</v>
      </c>
      <c r="D10" s="7" t="n">
        <v>1</v>
      </c>
      <c r="E10" s="15" t="s">
        <v>795</v>
      </c>
      <c r="F10" s="15"/>
      <c r="G10" s="15"/>
    </row>
    <row r="11" customFormat="false" ht="15" hidden="false" customHeight="false" outlineLevel="0" collapsed="false">
      <c r="A11" s="7" t="s">
        <v>33</v>
      </c>
      <c r="B11" s="8" t="s">
        <v>566</v>
      </c>
      <c r="C11" s="8" t="s">
        <v>565</v>
      </c>
      <c r="D11" s="7" t="n">
        <v>1</v>
      </c>
      <c r="E11" s="15" t="s">
        <v>564</v>
      </c>
      <c r="F11" s="15"/>
      <c r="G11" s="15"/>
    </row>
    <row r="12" customFormat="false" ht="15" hidden="false" customHeight="false" outlineLevel="0" collapsed="false">
      <c r="A12" s="7" t="s">
        <v>33</v>
      </c>
      <c r="B12" s="8" t="s">
        <v>879</v>
      </c>
      <c r="C12" s="8" t="s">
        <v>877</v>
      </c>
      <c r="D12" s="7" t="n">
        <v>1</v>
      </c>
      <c r="E12" s="15" t="s">
        <v>876</v>
      </c>
      <c r="F12" s="15"/>
      <c r="G12" s="15"/>
    </row>
    <row r="13" customFormat="false" ht="15" hidden="false" customHeight="false" outlineLevel="0" collapsed="false">
      <c r="A13" s="7" t="s">
        <v>33</v>
      </c>
      <c r="B13" s="8" t="s">
        <v>989</v>
      </c>
      <c r="C13" s="8" t="s">
        <v>988</v>
      </c>
      <c r="D13" s="7" t="n">
        <v>1</v>
      </c>
      <c r="E13" s="15" t="s">
        <v>987</v>
      </c>
      <c r="F13" s="15"/>
      <c r="G13" s="15"/>
    </row>
    <row r="14" customFormat="false" ht="15" hidden="false" customHeight="false" outlineLevel="0" collapsed="false">
      <c r="A14" s="7" t="s">
        <v>33</v>
      </c>
      <c r="B14" s="8" t="s">
        <v>305</v>
      </c>
      <c r="C14" s="8" t="s">
        <v>304</v>
      </c>
      <c r="D14" s="7" t="n">
        <v>2</v>
      </c>
      <c r="E14" s="15" t="s">
        <v>2713</v>
      </c>
      <c r="F14" s="13" t="s">
        <v>87</v>
      </c>
      <c r="G14" s="14"/>
    </row>
    <row r="15" customFormat="false" ht="15" hidden="false" customHeight="false" outlineLevel="0" collapsed="false">
      <c r="A15" s="7" t="s">
        <v>33</v>
      </c>
      <c r="B15" s="8" t="s">
        <v>396</v>
      </c>
      <c r="C15" s="8" t="s">
        <v>395</v>
      </c>
      <c r="D15" s="7" t="n">
        <v>1</v>
      </c>
      <c r="E15" s="15" t="s">
        <v>394</v>
      </c>
      <c r="F15" s="15"/>
      <c r="G15" s="15"/>
    </row>
    <row r="16" customFormat="false" ht="15" hidden="false" customHeight="false" outlineLevel="0" collapsed="false">
      <c r="A16" s="7" t="s">
        <v>33</v>
      </c>
      <c r="B16" s="8" t="s">
        <v>68</v>
      </c>
      <c r="C16" s="8" t="s">
        <v>67</v>
      </c>
      <c r="D16" s="7" t="n">
        <v>1</v>
      </c>
      <c r="E16" s="15" t="s">
        <v>66</v>
      </c>
      <c r="F16" s="13" t="s">
        <v>56</v>
      </c>
      <c r="G16" s="14" t="s">
        <v>69</v>
      </c>
    </row>
    <row r="17" customFormat="false" ht="15" hidden="false" customHeight="false" outlineLevel="0" collapsed="false">
      <c r="A17" s="7" t="s">
        <v>33</v>
      </c>
      <c r="B17" s="8" t="s">
        <v>73</v>
      </c>
      <c r="C17" s="8" t="s">
        <v>71</v>
      </c>
      <c r="D17" s="7" t="n">
        <v>1</v>
      </c>
      <c r="E17" s="15" t="s">
        <v>70</v>
      </c>
      <c r="F17" s="13" t="s">
        <v>74</v>
      </c>
      <c r="G17" s="14"/>
    </row>
    <row r="18" customFormat="false" ht="15" hidden="false" customHeight="false" outlineLevel="0" collapsed="false">
      <c r="A18" s="7" t="s">
        <v>33</v>
      </c>
      <c r="B18" s="8" t="s">
        <v>966</v>
      </c>
      <c r="C18" s="8" t="s">
        <v>965</v>
      </c>
      <c r="D18" s="7" t="n">
        <v>1</v>
      </c>
      <c r="E18" s="15" t="s">
        <v>964</v>
      </c>
      <c r="F18" s="15"/>
      <c r="G18" s="15"/>
    </row>
    <row r="19" customFormat="false" ht="15" hidden="false" customHeight="false" outlineLevel="0" collapsed="false">
      <c r="A19" s="7" t="s">
        <v>33</v>
      </c>
      <c r="B19" s="8" t="s">
        <v>99</v>
      </c>
      <c r="C19" s="8" t="s">
        <v>98</v>
      </c>
      <c r="D19" s="7" t="n">
        <v>1</v>
      </c>
      <c r="E19" s="15" t="s">
        <v>97</v>
      </c>
      <c r="F19" s="15"/>
      <c r="G19" s="15"/>
    </row>
    <row r="20" customFormat="false" ht="15" hidden="false" customHeight="false" outlineLevel="0" collapsed="false">
      <c r="A20" s="7" t="s">
        <v>33</v>
      </c>
      <c r="B20" s="8" t="s">
        <v>509</v>
      </c>
      <c r="C20" s="8" t="s">
        <v>508</v>
      </c>
      <c r="D20" s="7" t="n">
        <v>1</v>
      </c>
      <c r="E20" s="15" t="s">
        <v>507</v>
      </c>
      <c r="F20" s="15"/>
      <c r="G20" s="15"/>
    </row>
    <row r="21" customFormat="false" ht="15" hidden="false" customHeight="false" outlineLevel="0" collapsed="false">
      <c r="A21" s="7" t="s">
        <v>33</v>
      </c>
      <c r="B21" s="8" t="s">
        <v>207</v>
      </c>
      <c r="C21" s="8" t="s">
        <v>206</v>
      </c>
      <c r="D21" s="7" t="n">
        <v>1</v>
      </c>
      <c r="E21" s="15" t="s">
        <v>203</v>
      </c>
      <c r="F21" s="15"/>
      <c r="G21" s="15"/>
    </row>
    <row r="22" customFormat="false" ht="15" hidden="false" customHeight="false" outlineLevel="0" collapsed="false">
      <c r="A22" s="7" t="s">
        <v>33</v>
      </c>
      <c r="B22" s="8" t="s">
        <v>199</v>
      </c>
      <c r="C22" s="8" t="s">
        <v>198</v>
      </c>
      <c r="D22" s="7" t="n">
        <v>1</v>
      </c>
      <c r="E22" s="15" t="s">
        <v>197</v>
      </c>
      <c r="F22" s="15"/>
      <c r="G22" s="15"/>
    </row>
    <row r="23" customFormat="false" ht="15" hidden="false" customHeight="false" outlineLevel="0" collapsed="false">
      <c r="A23" s="7" t="s">
        <v>33</v>
      </c>
      <c r="B23" s="8" t="s">
        <v>601</v>
      </c>
      <c r="C23" s="8" t="s">
        <v>600</v>
      </c>
      <c r="D23" s="7" t="n">
        <v>1</v>
      </c>
      <c r="E23" s="15" t="s">
        <v>599</v>
      </c>
      <c r="F23" s="15"/>
      <c r="G23" s="15"/>
    </row>
    <row r="24" customFormat="false" ht="15" hidden="false" customHeight="false" outlineLevel="0" collapsed="false">
      <c r="A24" s="7" t="s">
        <v>33</v>
      </c>
      <c r="B24" s="8" t="s">
        <v>286</v>
      </c>
      <c r="C24" s="8" t="s">
        <v>285</v>
      </c>
      <c r="D24" s="7" t="n">
        <v>1</v>
      </c>
      <c r="E24" s="15" t="s">
        <v>284</v>
      </c>
      <c r="F24" s="15"/>
      <c r="G24" s="15"/>
    </row>
    <row r="25" customFormat="false" ht="15" hidden="false" customHeight="false" outlineLevel="0" collapsed="false">
      <c r="A25" s="7" t="s">
        <v>33</v>
      </c>
      <c r="B25" s="8" t="s">
        <v>592</v>
      </c>
      <c r="C25" s="8" t="s">
        <v>591</v>
      </c>
      <c r="D25" s="7" t="n">
        <v>1</v>
      </c>
      <c r="E25" s="15" t="s">
        <v>590</v>
      </c>
      <c r="F25" s="15"/>
      <c r="G25" s="15"/>
    </row>
    <row r="26" customFormat="false" ht="15" hidden="false" customHeight="false" outlineLevel="0" collapsed="false">
      <c r="A26" s="7" t="s">
        <v>33</v>
      </c>
      <c r="B26" s="8" t="s">
        <v>517</v>
      </c>
      <c r="C26" s="8" t="s">
        <v>516</v>
      </c>
      <c r="D26" s="7" t="n">
        <v>2</v>
      </c>
      <c r="E26" s="15" t="s">
        <v>2714</v>
      </c>
      <c r="F26" s="13" t="s">
        <v>2715</v>
      </c>
      <c r="G26" s="14"/>
    </row>
    <row r="27" customFormat="false" ht="15" hidden="false" customHeight="false" outlineLevel="0" collapsed="false">
      <c r="A27" s="7" t="s">
        <v>33</v>
      </c>
      <c r="B27" s="8" t="s">
        <v>851</v>
      </c>
      <c r="C27" s="8" t="s">
        <v>849</v>
      </c>
      <c r="D27" s="7" t="n">
        <v>1</v>
      </c>
      <c r="E27" s="15" t="s">
        <v>846</v>
      </c>
      <c r="F27" s="14"/>
      <c r="G27" s="14" t="s">
        <v>852</v>
      </c>
    </row>
    <row r="28" customFormat="false" ht="15" hidden="false" customHeight="false" outlineLevel="0" collapsed="false">
      <c r="A28" s="7" t="s">
        <v>33</v>
      </c>
      <c r="B28" s="8" t="s">
        <v>791</v>
      </c>
      <c r="C28" s="8" t="s">
        <v>790</v>
      </c>
      <c r="D28" s="7" t="n">
        <v>1</v>
      </c>
      <c r="E28" s="15" t="s">
        <v>789</v>
      </c>
      <c r="F28" s="15"/>
      <c r="G28" s="15"/>
    </row>
    <row r="29" customFormat="false" ht="15" hidden="false" customHeight="false" outlineLevel="0" collapsed="false">
      <c r="A29" s="7" t="s">
        <v>33</v>
      </c>
      <c r="B29" s="8" t="s">
        <v>165</v>
      </c>
      <c r="C29" s="8" t="s">
        <v>164</v>
      </c>
      <c r="D29" s="7" t="n">
        <v>1</v>
      </c>
      <c r="E29" s="15" t="s">
        <v>163</v>
      </c>
      <c r="F29" s="15"/>
      <c r="G29" s="15"/>
    </row>
    <row r="30" customFormat="false" ht="15" hidden="false" customHeight="false" outlineLevel="0" collapsed="false">
      <c r="A30" s="7" t="s">
        <v>33</v>
      </c>
      <c r="B30" s="8" t="s">
        <v>679</v>
      </c>
      <c r="C30" s="8" t="s">
        <v>678</v>
      </c>
      <c r="D30" s="7" t="n">
        <v>1</v>
      </c>
      <c r="E30" s="15" t="s">
        <v>677</v>
      </c>
      <c r="F30" s="15"/>
      <c r="G30" s="15"/>
    </row>
    <row r="31" customFormat="false" ht="29.85" hidden="false" customHeight="false" outlineLevel="0" collapsed="false">
      <c r="A31" s="7" t="s">
        <v>33</v>
      </c>
      <c r="B31" s="8" t="s">
        <v>649</v>
      </c>
      <c r="C31" s="8" t="s">
        <v>648</v>
      </c>
      <c r="D31" s="7" t="n">
        <v>1</v>
      </c>
      <c r="E31" s="15" t="s">
        <v>647</v>
      </c>
      <c r="F31" s="13" t="s">
        <v>56</v>
      </c>
      <c r="G31" s="13" t="s">
        <v>650</v>
      </c>
    </row>
    <row r="32" customFormat="false" ht="15" hidden="false" customHeight="false" outlineLevel="0" collapsed="false">
      <c r="A32" s="7" t="s">
        <v>33</v>
      </c>
      <c r="B32" s="8" t="s">
        <v>771</v>
      </c>
      <c r="C32" s="8" t="s">
        <v>770</v>
      </c>
      <c r="D32" s="7" t="n">
        <v>1</v>
      </c>
      <c r="E32" s="15" t="s">
        <v>769</v>
      </c>
      <c r="F32" s="15"/>
      <c r="G32" s="15"/>
    </row>
    <row r="33" customFormat="false" ht="15" hidden="false" customHeight="false" outlineLevel="0" collapsed="false">
      <c r="A33" s="7" t="s">
        <v>33</v>
      </c>
      <c r="B33" s="8" t="s">
        <v>845</v>
      </c>
      <c r="C33" s="8" t="s">
        <v>844</v>
      </c>
      <c r="D33" s="7" t="n">
        <v>1</v>
      </c>
      <c r="E33" s="15" t="s">
        <v>843</v>
      </c>
      <c r="F33" s="15"/>
      <c r="G33" s="15"/>
    </row>
    <row r="34" customFormat="false" ht="15" hidden="false" customHeight="false" outlineLevel="0" collapsed="false">
      <c r="A34" s="7" t="s">
        <v>33</v>
      </c>
      <c r="B34" s="8" t="s">
        <v>902</v>
      </c>
      <c r="C34" s="8" t="s">
        <v>901</v>
      </c>
      <c r="D34" s="7" t="n">
        <v>1</v>
      </c>
      <c r="E34" s="15" t="s">
        <v>897</v>
      </c>
      <c r="F34" s="14"/>
      <c r="G34" s="14" t="s">
        <v>903</v>
      </c>
    </row>
    <row r="35" customFormat="false" ht="15" hidden="false" customHeight="false" outlineLevel="0" collapsed="false">
      <c r="A35" s="7" t="s">
        <v>33</v>
      </c>
      <c r="B35" s="8" t="s">
        <v>893</v>
      </c>
      <c r="C35" s="8" t="s">
        <v>892</v>
      </c>
      <c r="D35" s="7" t="n">
        <v>1</v>
      </c>
      <c r="E35" s="15" t="s">
        <v>891</v>
      </c>
      <c r="F35" s="15"/>
      <c r="G35" s="15"/>
    </row>
    <row r="36" customFormat="false" ht="15" hidden="false" customHeight="false" outlineLevel="0" collapsed="false">
      <c r="A36" s="7" t="s">
        <v>33</v>
      </c>
      <c r="B36" s="8" t="s">
        <v>688</v>
      </c>
      <c r="C36" s="8" t="s">
        <v>687</v>
      </c>
      <c r="D36" s="7" t="n">
        <v>1</v>
      </c>
      <c r="E36" s="15" t="s">
        <v>686</v>
      </c>
      <c r="F36" s="15"/>
      <c r="G36" s="15"/>
    </row>
    <row r="37" customFormat="false" ht="15" hidden="false" customHeight="false" outlineLevel="0" collapsed="false">
      <c r="A37" s="7" t="s">
        <v>33</v>
      </c>
      <c r="B37" s="8" t="s">
        <v>1014</v>
      </c>
      <c r="C37" s="8" t="s">
        <v>1013</v>
      </c>
      <c r="D37" s="7" t="n">
        <v>1</v>
      </c>
      <c r="E37" s="15" t="s">
        <v>1012</v>
      </c>
      <c r="F37" s="15"/>
      <c r="G37" s="15"/>
    </row>
    <row r="38" customFormat="false" ht="15" hidden="false" customHeight="false" outlineLevel="0" collapsed="false">
      <c r="A38" s="7" t="s">
        <v>33</v>
      </c>
      <c r="B38" s="8" t="s">
        <v>398</v>
      </c>
      <c r="C38" s="8" t="s">
        <v>397</v>
      </c>
      <c r="D38" s="7" t="n">
        <v>1</v>
      </c>
      <c r="E38" s="15" t="s">
        <v>394</v>
      </c>
      <c r="F38" s="15"/>
      <c r="G38" s="15"/>
    </row>
    <row r="39" customFormat="false" ht="15" hidden="false" customHeight="false" outlineLevel="0" collapsed="false">
      <c r="A39" s="7" t="s">
        <v>33</v>
      </c>
      <c r="B39" s="8" t="s">
        <v>336</v>
      </c>
      <c r="C39" s="8" t="s">
        <v>335</v>
      </c>
      <c r="D39" s="7" t="n">
        <v>1</v>
      </c>
      <c r="E39" s="15" t="s">
        <v>334</v>
      </c>
      <c r="F39" s="15"/>
      <c r="G39" s="15"/>
    </row>
    <row r="40" customFormat="false" ht="15" hidden="false" customHeight="false" outlineLevel="0" collapsed="false">
      <c r="A40" s="7" t="s">
        <v>33</v>
      </c>
      <c r="B40" s="8" t="s">
        <v>622</v>
      </c>
      <c r="C40" s="8" t="s">
        <v>621</v>
      </c>
      <c r="D40" s="7" t="n">
        <v>1</v>
      </c>
      <c r="E40" s="15" t="s">
        <v>620</v>
      </c>
      <c r="F40" s="15"/>
      <c r="G40" s="15"/>
    </row>
    <row r="41" customFormat="false" ht="15" hidden="false" customHeight="false" outlineLevel="0" collapsed="false">
      <c r="A41" s="7" t="s">
        <v>33</v>
      </c>
      <c r="B41" s="8" t="s">
        <v>625</v>
      </c>
      <c r="C41" s="8" t="s">
        <v>624</v>
      </c>
      <c r="D41" s="7" t="n">
        <v>1</v>
      </c>
      <c r="E41" s="15" t="s">
        <v>623</v>
      </c>
      <c r="F41" s="13" t="s">
        <v>74</v>
      </c>
      <c r="G41" s="14"/>
    </row>
    <row r="42" customFormat="false" ht="15" hidden="false" customHeight="false" outlineLevel="0" collapsed="false">
      <c r="A42" s="7" t="s">
        <v>33</v>
      </c>
      <c r="B42" s="8" t="s">
        <v>96</v>
      </c>
      <c r="C42" s="8" t="s">
        <v>95</v>
      </c>
      <c r="D42" s="7" t="n">
        <v>1</v>
      </c>
      <c r="E42" s="15" t="s">
        <v>94</v>
      </c>
      <c r="F42" s="15"/>
      <c r="G42" s="15"/>
    </row>
    <row r="43" customFormat="false" ht="15" hidden="false" customHeight="false" outlineLevel="0" collapsed="false">
      <c r="A43" s="7" t="s">
        <v>33</v>
      </c>
      <c r="B43" s="8" t="s">
        <v>559</v>
      </c>
      <c r="C43" s="8" t="s">
        <v>558</v>
      </c>
      <c r="D43" s="7" t="n">
        <v>1</v>
      </c>
      <c r="E43" s="15" t="s">
        <v>557</v>
      </c>
      <c r="F43" s="15"/>
      <c r="G43" s="15"/>
    </row>
    <row r="44" customFormat="false" ht="15" hidden="false" customHeight="false" outlineLevel="0" collapsed="false">
      <c r="A44" s="7" t="s">
        <v>33</v>
      </c>
      <c r="B44" s="8" t="s">
        <v>720</v>
      </c>
      <c r="C44" s="8" t="s">
        <v>719</v>
      </c>
      <c r="D44" s="7" t="n">
        <v>1</v>
      </c>
      <c r="E44" s="15" t="s">
        <v>718</v>
      </c>
      <c r="F44" s="15"/>
      <c r="G44" s="15"/>
    </row>
    <row r="45" customFormat="false" ht="15" hidden="false" customHeight="false" outlineLevel="0" collapsed="false">
      <c r="A45" s="7" t="s">
        <v>33</v>
      </c>
      <c r="B45" s="8" t="s">
        <v>693</v>
      </c>
      <c r="C45" s="8" t="s">
        <v>692</v>
      </c>
      <c r="D45" s="7" t="n">
        <v>1</v>
      </c>
      <c r="E45" s="15" t="s">
        <v>691</v>
      </c>
      <c r="F45" s="15"/>
      <c r="G45" s="15"/>
    </row>
    <row r="46" customFormat="false" ht="15" hidden="false" customHeight="false" outlineLevel="0" collapsed="false">
      <c r="A46" s="7" t="s">
        <v>33</v>
      </c>
      <c r="B46" s="8" t="s">
        <v>759</v>
      </c>
      <c r="C46" s="8" t="s">
        <v>758</v>
      </c>
      <c r="D46" s="7" t="n">
        <v>1</v>
      </c>
      <c r="E46" s="15" t="s">
        <v>757</v>
      </c>
      <c r="F46" s="15"/>
      <c r="G46" s="15"/>
    </row>
    <row r="47" customFormat="false" ht="15" hidden="false" customHeight="false" outlineLevel="0" collapsed="false">
      <c r="A47" s="7" t="s">
        <v>33</v>
      </c>
      <c r="B47" s="8" t="s">
        <v>646</v>
      </c>
      <c r="C47" s="8" t="s">
        <v>645</v>
      </c>
      <c r="D47" s="7" t="n">
        <v>1</v>
      </c>
      <c r="E47" s="15" t="s">
        <v>644</v>
      </c>
      <c r="F47" s="15"/>
      <c r="G47" s="15"/>
    </row>
    <row r="48" customFormat="false" ht="15" hidden="false" customHeight="false" outlineLevel="0" collapsed="false">
      <c r="A48" s="7" t="s">
        <v>33</v>
      </c>
      <c r="B48" s="8" t="s">
        <v>39</v>
      </c>
      <c r="C48" s="8" t="s">
        <v>38</v>
      </c>
      <c r="D48" s="7" t="n">
        <v>1</v>
      </c>
      <c r="E48" s="15" t="s">
        <v>37</v>
      </c>
      <c r="F48" s="15"/>
      <c r="G48" s="15"/>
    </row>
    <row r="49" customFormat="false" ht="15" hidden="false" customHeight="false" outlineLevel="0" collapsed="false">
      <c r="A49" s="7" t="s">
        <v>33</v>
      </c>
      <c r="B49" s="8" t="s">
        <v>130</v>
      </c>
      <c r="C49" s="8" t="s">
        <v>128</v>
      </c>
      <c r="D49" s="7" t="n">
        <v>1</v>
      </c>
      <c r="E49" s="15" t="s">
        <v>127</v>
      </c>
      <c r="F49" s="13" t="s">
        <v>74</v>
      </c>
      <c r="G49" s="14"/>
    </row>
    <row r="50" customFormat="false" ht="15" hidden="false" customHeight="false" outlineLevel="0" collapsed="false">
      <c r="A50" s="7" t="s">
        <v>33</v>
      </c>
      <c r="B50" s="8" t="s">
        <v>126</v>
      </c>
      <c r="C50" s="8" t="s">
        <v>125</v>
      </c>
      <c r="D50" s="7" t="n">
        <v>1</v>
      </c>
      <c r="E50" s="15" t="s">
        <v>124</v>
      </c>
      <c r="F50" s="13" t="s">
        <v>74</v>
      </c>
      <c r="G50" s="14"/>
    </row>
    <row r="51" customFormat="false" ht="15" hidden="false" customHeight="false" outlineLevel="0" collapsed="false">
      <c r="A51" s="7" t="s">
        <v>33</v>
      </c>
      <c r="B51" s="8" t="s">
        <v>320</v>
      </c>
      <c r="C51" s="8" t="s">
        <v>319</v>
      </c>
      <c r="D51" s="7" t="n">
        <v>1</v>
      </c>
      <c r="E51" s="15" t="s">
        <v>318</v>
      </c>
      <c r="F51" s="15"/>
      <c r="G51" s="15"/>
    </row>
    <row r="52" customFormat="false" ht="15" hidden="false" customHeight="false" outlineLevel="0" collapsed="false">
      <c r="A52" s="7" t="s">
        <v>33</v>
      </c>
      <c r="B52" s="8" t="s">
        <v>373</v>
      </c>
      <c r="C52" s="8" t="s">
        <v>372</v>
      </c>
      <c r="D52" s="7" t="n">
        <v>1</v>
      </c>
      <c r="E52" s="15" t="s">
        <v>369</v>
      </c>
      <c r="F52" s="15"/>
      <c r="G52" s="15"/>
    </row>
    <row r="53" customFormat="false" ht="15" hidden="false" customHeight="false" outlineLevel="0" collapsed="false">
      <c r="A53" s="7" t="s">
        <v>33</v>
      </c>
      <c r="B53" s="8" t="s">
        <v>524</v>
      </c>
      <c r="C53" s="8" t="s">
        <v>523</v>
      </c>
      <c r="D53" s="7" t="n">
        <v>1</v>
      </c>
      <c r="E53" s="15" t="s">
        <v>522</v>
      </c>
      <c r="F53" s="15"/>
      <c r="G53" s="15"/>
    </row>
    <row r="54" customFormat="false" ht="15" hidden="false" customHeight="false" outlineLevel="0" collapsed="false">
      <c r="A54" s="7" t="s">
        <v>33</v>
      </c>
      <c r="B54" s="8" t="s">
        <v>348</v>
      </c>
      <c r="C54" s="8" t="s">
        <v>347</v>
      </c>
      <c r="D54" s="7" t="n">
        <v>1</v>
      </c>
      <c r="E54" s="15" t="s">
        <v>346</v>
      </c>
      <c r="F54" s="15"/>
      <c r="G54" s="15"/>
    </row>
    <row r="55" customFormat="false" ht="15" hidden="false" customHeight="false" outlineLevel="0" collapsed="false">
      <c r="A55" s="7" t="s">
        <v>33</v>
      </c>
      <c r="B55" s="8" t="s">
        <v>270</v>
      </c>
      <c r="C55" s="8" t="s">
        <v>269</v>
      </c>
      <c r="D55" s="7" t="n">
        <v>1</v>
      </c>
      <c r="E55" s="15" t="s">
        <v>268</v>
      </c>
      <c r="F55" s="15"/>
      <c r="G55" s="15"/>
    </row>
    <row r="56" customFormat="false" ht="15" hidden="false" customHeight="false" outlineLevel="0" collapsed="false">
      <c r="A56" s="7" t="s">
        <v>33</v>
      </c>
      <c r="B56" s="8" t="s">
        <v>776</v>
      </c>
      <c r="C56" s="8" t="s">
        <v>775</v>
      </c>
      <c r="D56" s="7" t="n">
        <v>1</v>
      </c>
      <c r="E56" s="15" t="s">
        <v>774</v>
      </c>
      <c r="F56" s="15"/>
      <c r="G56" s="15"/>
    </row>
    <row r="57" customFormat="false" ht="15" hidden="false" customHeight="false" outlineLevel="0" collapsed="false">
      <c r="A57" s="7" t="s">
        <v>33</v>
      </c>
      <c r="B57" s="8" t="s">
        <v>956</v>
      </c>
      <c r="C57" s="8" t="s">
        <v>2716</v>
      </c>
      <c r="D57" s="7" t="n">
        <v>2</v>
      </c>
      <c r="E57" s="15" t="s">
        <v>2717</v>
      </c>
      <c r="F57" s="13" t="s">
        <v>87</v>
      </c>
      <c r="G57" s="14" t="s">
        <v>957</v>
      </c>
    </row>
    <row r="58" customFormat="false" ht="15" hidden="false" customHeight="false" outlineLevel="0" collapsed="false">
      <c r="A58" s="7" t="s">
        <v>33</v>
      </c>
      <c r="B58" s="8" t="s">
        <v>538</v>
      </c>
      <c r="C58" s="8" t="s">
        <v>537</v>
      </c>
      <c r="D58" s="7" t="n">
        <v>1</v>
      </c>
      <c r="E58" s="15" t="s">
        <v>536</v>
      </c>
      <c r="F58" s="15"/>
      <c r="G58" s="15"/>
    </row>
    <row r="59" customFormat="false" ht="15" hidden="false" customHeight="false" outlineLevel="0" collapsed="false">
      <c r="A59" s="7" t="s">
        <v>33</v>
      </c>
      <c r="B59" s="8" t="s">
        <v>682</v>
      </c>
      <c r="C59" s="8" t="s">
        <v>681</v>
      </c>
      <c r="D59" s="7" t="n">
        <v>1</v>
      </c>
      <c r="E59" s="15" t="s">
        <v>680</v>
      </c>
      <c r="F59" s="15"/>
      <c r="G59" s="15"/>
    </row>
    <row r="60" customFormat="false" ht="15" hidden="false" customHeight="false" outlineLevel="0" collapsed="false">
      <c r="A60" s="7" t="s">
        <v>33</v>
      </c>
      <c r="B60" s="8" t="s">
        <v>162</v>
      </c>
      <c r="C60" s="8" t="s">
        <v>161</v>
      </c>
      <c r="D60" s="7" t="n">
        <v>1</v>
      </c>
      <c r="E60" s="15" t="s">
        <v>160</v>
      </c>
      <c r="F60" s="15"/>
      <c r="G60" s="15"/>
    </row>
    <row r="61" customFormat="false" ht="15" hidden="false" customHeight="false" outlineLevel="0" collapsed="false">
      <c r="A61" s="7" t="s">
        <v>33</v>
      </c>
      <c r="B61" s="8" t="s">
        <v>80</v>
      </c>
      <c r="C61" s="8" t="s">
        <v>79</v>
      </c>
      <c r="D61" s="7" t="n">
        <v>1</v>
      </c>
      <c r="E61" s="15" t="s">
        <v>78</v>
      </c>
      <c r="F61" s="15"/>
      <c r="G61" s="15"/>
    </row>
    <row r="62" customFormat="false" ht="15" hidden="false" customHeight="false" outlineLevel="0" collapsed="false">
      <c r="A62" s="7" t="s">
        <v>33</v>
      </c>
      <c r="B62" s="8" t="s">
        <v>123</v>
      </c>
      <c r="C62" s="8" t="s">
        <v>122</v>
      </c>
      <c r="D62" s="7" t="n">
        <v>1</v>
      </c>
      <c r="E62" s="15" t="s">
        <v>121</v>
      </c>
      <c r="F62" s="15"/>
      <c r="G62" s="15"/>
    </row>
    <row r="63" customFormat="false" ht="15" hidden="false" customHeight="false" outlineLevel="0" collapsed="false">
      <c r="A63" s="7" t="s">
        <v>33</v>
      </c>
      <c r="B63" s="8" t="s">
        <v>36</v>
      </c>
      <c r="C63" s="8" t="s">
        <v>35</v>
      </c>
      <c r="D63" s="7" t="n">
        <v>1</v>
      </c>
      <c r="E63" s="15" t="s">
        <v>34</v>
      </c>
      <c r="F63" s="15"/>
      <c r="G63" s="15"/>
    </row>
    <row r="64" customFormat="false" ht="15" hidden="false" customHeight="false" outlineLevel="0" collapsed="false">
      <c r="A64" s="7" t="s">
        <v>33</v>
      </c>
      <c r="B64" s="8" t="s">
        <v>290</v>
      </c>
      <c r="C64" s="8" t="s">
        <v>289</v>
      </c>
      <c r="D64" s="7" t="n">
        <v>1</v>
      </c>
      <c r="E64" s="15" t="s">
        <v>288</v>
      </c>
      <c r="F64" s="15"/>
      <c r="G64" s="15"/>
    </row>
    <row r="65" customFormat="false" ht="15" hidden="false" customHeight="false" outlineLevel="0" collapsed="false">
      <c r="A65" s="7" t="s">
        <v>33</v>
      </c>
      <c r="B65" s="8" t="s">
        <v>827</v>
      </c>
      <c r="C65" s="8" t="s">
        <v>826</v>
      </c>
      <c r="D65" s="7" t="n">
        <v>1</v>
      </c>
      <c r="E65" s="15" t="s">
        <v>825</v>
      </c>
      <c r="F65" s="15"/>
      <c r="G65" s="15"/>
    </row>
    <row r="66" customFormat="false" ht="15" hidden="false" customHeight="false" outlineLevel="0" collapsed="false">
      <c r="A66" s="7" t="s">
        <v>33</v>
      </c>
      <c r="B66" s="8" t="s">
        <v>196</v>
      </c>
      <c r="C66" s="8" t="s">
        <v>195</v>
      </c>
      <c r="D66" s="7" t="n">
        <v>1</v>
      </c>
      <c r="E66" s="15" t="s">
        <v>194</v>
      </c>
      <c r="F66" s="15"/>
      <c r="G66" s="15"/>
    </row>
    <row r="67" customFormat="false" ht="15" hidden="false" customHeight="false" outlineLevel="0" collapsed="false">
      <c r="A67" s="7" t="s">
        <v>33</v>
      </c>
      <c r="B67" s="8" t="s">
        <v>670</v>
      </c>
      <c r="C67" s="8" t="s">
        <v>668</v>
      </c>
      <c r="D67" s="7" t="n">
        <v>1</v>
      </c>
      <c r="E67" s="15" t="s">
        <v>667</v>
      </c>
      <c r="F67" s="15"/>
      <c r="G67" s="15"/>
    </row>
    <row r="68" customFormat="false" ht="15" hidden="false" customHeight="false" outlineLevel="0" collapsed="false">
      <c r="A68" s="7" t="s">
        <v>33</v>
      </c>
      <c r="B68" s="8" t="s">
        <v>438</v>
      </c>
      <c r="C68" s="8" t="s">
        <v>437</v>
      </c>
      <c r="D68" s="7" t="n">
        <v>1</v>
      </c>
      <c r="E68" s="15" t="s">
        <v>436</v>
      </c>
      <c r="F68" s="15"/>
      <c r="G68" s="15"/>
    </row>
    <row r="69" customFormat="false" ht="15" hidden="false" customHeight="false" outlineLevel="0" collapsed="false">
      <c r="A69" s="7" t="s">
        <v>33</v>
      </c>
      <c r="B69" s="8" t="s">
        <v>581</v>
      </c>
      <c r="C69" s="8" t="s">
        <v>580</v>
      </c>
      <c r="D69" s="7" t="n">
        <v>1</v>
      </c>
      <c r="E69" s="15" t="s">
        <v>579</v>
      </c>
      <c r="F69" s="15"/>
      <c r="G69" s="15"/>
    </row>
    <row r="70" customFormat="false" ht="15" hidden="false" customHeight="false" outlineLevel="0" collapsed="false">
      <c r="A70" s="7" t="s">
        <v>33</v>
      </c>
      <c r="B70" s="8" t="s">
        <v>376</v>
      </c>
      <c r="C70" s="8" t="s">
        <v>375</v>
      </c>
      <c r="D70" s="7" t="n">
        <v>1</v>
      </c>
      <c r="E70" s="15" t="s">
        <v>374</v>
      </c>
      <c r="F70" s="15"/>
      <c r="G70" s="15"/>
    </row>
    <row r="71" customFormat="false" ht="15" hidden="false" customHeight="false" outlineLevel="0" collapsed="false">
      <c r="A71" s="7" t="s">
        <v>33</v>
      </c>
      <c r="B71" s="8" t="s">
        <v>424</v>
      </c>
      <c r="C71" s="8" t="s">
        <v>423</v>
      </c>
      <c r="D71" s="7" t="n">
        <v>1</v>
      </c>
      <c r="E71" s="15" t="s">
        <v>422</v>
      </c>
      <c r="F71" s="13" t="s">
        <v>74</v>
      </c>
      <c r="G71" s="14"/>
    </row>
    <row r="72" customFormat="false" ht="15" hidden="false" customHeight="false" outlineLevel="0" collapsed="false">
      <c r="A72" s="7" t="s">
        <v>33</v>
      </c>
      <c r="B72" s="8" t="s">
        <v>342</v>
      </c>
      <c r="C72" s="8" t="s">
        <v>341</v>
      </c>
      <c r="D72" s="7" t="n">
        <v>1</v>
      </c>
      <c r="E72" s="15" t="s">
        <v>340</v>
      </c>
      <c r="F72" s="15"/>
      <c r="G72" s="15"/>
    </row>
    <row r="73" customFormat="false" ht="15" hidden="false" customHeight="false" outlineLevel="0" collapsed="false">
      <c r="A73" s="7" t="s">
        <v>33</v>
      </c>
      <c r="B73" s="8" t="s">
        <v>572</v>
      </c>
      <c r="C73" s="8" t="s">
        <v>570</v>
      </c>
      <c r="D73" s="7" t="n">
        <v>1</v>
      </c>
      <c r="E73" s="15" t="s">
        <v>569</v>
      </c>
      <c r="F73" s="13" t="s">
        <v>74</v>
      </c>
      <c r="G73" s="14"/>
    </row>
    <row r="74" customFormat="false" ht="15" hidden="false" customHeight="false" outlineLevel="0" collapsed="false">
      <c r="A74" s="7" t="s">
        <v>33</v>
      </c>
      <c r="B74" s="8" t="s">
        <v>1008</v>
      </c>
      <c r="C74" s="8" t="s">
        <v>1007</v>
      </c>
      <c r="D74" s="7" t="n">
        <v>1</v>
      </c>
      <c r="E74" s="15" t="s">
        <v>1006</v>
      </c>
      <c r="F74" s="15"/>
      <c r="G74" s="15"/>
    </row>
    <row r="75" customFormat="false" ht="15" hidden="false" customHeight="false" outlineLevel="0" collapsed="false">
      <c r="A75" s="7" t="s">
        <v>33</v>
      </c>
      <c r="B75" s="8" t="s">
        <v>563</v>
      </c>
      <c r="C75" s="8" t="s">
        <v>561</v>
      </c>
      <c r="D75" s="7" t="n">
        <v>1</v>
      </c>
      <c r="E75" s="15" t="s">
        <v>560</v>
      </c>
      <c r="F75" s="13" t="s">
        <v>74</v>
      </c>
      <c r="G75" s="14"/>
    </row>
    <row r="76" customFormat="false" ht="15" hidden="false" customHeight="false" outlineLevel="0" collapsed="false">
      <c r="A76" s="7" t="s">
        <v>33</v>
      </c>
      <c r="B76" s="8" t="s">
        <v>673</v>
      </c>
      <c r="C76" s="8" t="s">
        <v>672</v>
      </c>
      <c r="D76" s="7" t="n">
        <v>1</v>
      </c>
      <c r="E76" s="15" t="s">
        <v>671</v>
      </c>
      <c r="F76" s="15"/>
      <c r="G76" s="15"/>
    </row>
    <row r="77" customFormat="false" ht="15" hidden="false" customHeight="false" outlineLevel="0" collapsed="false">
      <c r="A77" s="7" t="s">
        <v>33</v>
      </c>
      <c r="B77" s="8" t="s">
        <v>535</v>
      </c>
      <c r="C77" s="8" t="s">
        <v>534</v>
      </c>
      <c r="D77" s="7" t="n">
        <v>1</v>
      </c>
      <c r="E77" s="15" t="s">
        <v>533</v>
      </c>
      <c r="F77" s="14" t="s">
        <v>500</v>
      </c>
      <c r="G77" s="14"/>
    </row>
    <row r="78" customFormat="false" ht="15" hidden="false" customHeight="false" outlineLevel="0" collapsed="false">
      <c r="A78" s="7" t="s">
        <v>33</v>
      </c>
      <c r="B78" s="8" t="s">
        <v>714</v>
      </c>
      <c r="C78" s="8" t="s">
        <v>713</v>
      </c>
      <c r="D78" s="7" t="n">
        <v>1</v>
      </c>
      <c r="E78" s="15" t="s">
        <v>710</v>
      </c>
      <c r="F78" s="15"/>
      <c r="G78" s="15"/>
    </row>
    <row r="79" customFormat="false" ht="15" hidden="false" customHeight="false" outlineLevel="0" collapsed="false">
      <c r="A79" s="7" t="s">
        <v>33</v>
      </c>
      <c r="B79" s="8" t="s">
        <v>726</v>
      </c>
      <c r="C79" s="8" t="s">
        <v>725</v>
      </c>
      <c r="D79" s="7" t="n">
        <v>1</v>
      </c>
      <c r="E79" s="15" t="s">
        <v>724</v>
      </c>
      <c r="F79" s="15"/>
      <c r="G79" s="15"/>
    </row>
    <row r="80" customFormat="false" ht="15" hidden="false" customHeight="false" outlineLevel="0" collapsed="false">
      <c r="A80" s="7" t="s">
        <v>33</v>
      </c>
      <c r="B80" s="8" t="s">
        <v>351</v>
      </c>
      <c r="C80" s="8" t="s">
        <v>350</v>
      </c>
      <c r="D80" s="7" t="n">
        <v>1</v>
      </c>
      <c r="E80" s="15" t="s">
        <v>349</v>
      </c>
      <c r="F80" s="15"/>
      <c r="G80" s="15"/>
    </row>
    <row r="81" customFormat="false" ht="15" hidden="false" customHeight="false" outlineLevel="0" collapsed="false">
      <c r="A81" s="7" t="s">
        <v>33</v>
      </c>
      <c r="B81" s="8" t="s">
        <v>447</v>
      </c>
      <c r="C81" s="8" t="s">
        <v>446</v>
      </c>
      <c r="D81" s="7" t="n">
        <v>1</v>
      </c>
      <c r="E81" s="15" t="s">
        <v>445</v>
      </c>
      <c r="F81" s="15"/>
      <c r="G81" s="15"/>
    </row>
    <row r="82" customFormat="false" ht="15" hidden="false" customHeight="false" outlineLevel="0" collapsed="false">
      <c r="A82" s="7" t="s">
        <v>33</v>
      </c>
      <c r="B82" s="8" t="s">
        <v>753</v>
      </c>
      <c r="C82" s="8" t="s">
        <v>752</v>
      </c>
      <c r="D82" s="7" t="n">
        <v>1</v>
      </c>
      <c r="E82" s="15" t="s">
        <v>751</v>
      </c>
      <c r="F82" s="15"/>
      <c r="G82" s="15"/>
    </row>
    <row r="83" customFormat="false" ht="15" hidden="false" customHeight="false" outlineLevel="0" collapsed="false">
      <c r="A83" s="7" t="s">
        <v>33</v>
      </c>
      <c r="B83" s="8" t="s">
        <v>462</v>
      </c>
      <c r="C83" s="8" t="s">
        <v>461</v>
      </c>
      <c r="D83" s="7" t="n">
        <v>2</v>
      </c>
      <c r="E83" s="15" t="s">
        <v>2718</v>
      </c>
      <c r="F83" s="13" t="s">
        <v>87</v>
      </c>
      <c r="G83" s="14"/>
    </row>
    <row r="84" customFormat="false" ht="15" hidden="false" customHeight="false" outlineLevel="0" collapsed="false">
      <c r="A84" s="7" t="s">
        <v>33</v>
      </c>
      <c r="B84" s="8" t="s">
        <v>368</v>
      </c>
      <c r="C84" s="8" t="s">
        <v>367</v>
      </c>
      <c r="D84" s="7" t="n">
        <v>1</v>
      </c>
      <c r="E84" s="15" t="s">
        <v>366</v>
      </c>
      <c r="F84" s="13" t="s">
        <v>74</v>
      </c>
      <c r="G84" s="14"/>
    </row>
    <row r="85" customFormat="false" ht="15" hidden="false" customHeight="false" outlineLevel="0" collapsed="false">
      <c r="A85" s="7" t="s">
        <v>33</v>
      </c>
      <c r="B85" s="8" t="s">
        <v>785</v>
      </c>
      <c r="C85" s="8" t="s">
        <v>784</v>
      </c>
      <c r="D85" s="7" t="n">
        <v>1</v>
      </c>
      <c r="E85" s="15" t="s">
        <v>783</v>
      </c>
      <c r="F85" s="15"/>
      <c r="G85" s="15"/>
    </row>
    <row r="86" customFormat="false" ht="15" hidden="false" customHeight="false" outlineLevel="0" collapsed="false">
      <c r="A86" s="7" t="s">
        <v>33</v>
      </c>
      <c r="B86" s="8" t="s">
        <v>610</v>
      </c>
      <c r="C86" s="8" t="s">
        <v>609</v>
      </c>
      <c r="D86" s="7" t="n">
        <v>1</v>
      </c>
      <c r="E86" s="15" t="s">
        <v>608</v>
      </c>
      <c r="F86" s="15"/>
      <c r="G86" s="15"/>
    </row>
    <row r="87" customFormat="false" ht="15" hidden="false" customHeight="false" outlineLevel="0" collapsed="false">
      <c r="A87" s="7" t="s">
        <v>33</v>
      </c>
      <c r="B87" s="8" t="s">
        <v>643</v>
      </c>
      <c r="C87" s="8" t="s">
        <v>642</v>
      </c>
      <c r="D87" s="7" t="n">
        <v>1</v>
      </c>
      <c r="E87" s="15" t="s">
        <v>641</v>
      </c>
      <c r="F87" s="15"/>
      <c r="G87" s="15"/>
    </row>
    <row r="88" customFormat="false" ht="15" hidden="false" customHeight="false" outlineLevel="0" collapsed="false">
      <c r="A88" s="7" t="s">
        <v>33</v>
      </c>
      <c r="B88" s="8" t="s">
        <v>991</v>
      </c>
      <c r="C88" s="8" t="s">
        <v>990</v>
      </c>
      <c r="D88" s="7" t="n">
        <v>1</v>
      </c>
      <c r="E88" s="15" t="s">
        <v>987</v>
      </c>
      <c r="F88" s="14"/>
      <c r="G88" s="14" t="s">
        <v>992</v>
      </c>
    </row>
    <row r="89" customFormat="false" ht="15" hidden="false" customHeight="false" outlineLevel="0" collapsed="false">
      <c r="A89" s="7" t="s">
        <v>33</v>
      </c>
      <c r="B89" s="8" t="s">
        <v>801</v>
      </c>
      <c r="C89" s="8" t="s">
        <v>800</v>
      </c>
      <c r="D89" s="7" t="n">
        <v>1</v>
      </c>
      <c r="E89" s="15" t="s">
        <v>799</v>
      </c>
      <c r="F89" s="15"/>
      <c r="G89" s="15"/>
    </row>
    <row r="90" customFormat="false" ht="15" hidden="false" customHeight="false" outlineLevel="0" collapsed="false">
      <c r="A90" s="7" t="s">
        <v>33</v>
      </c>
      <c r="B90" s="8" t="s">
        <v>631</v>
      </c>
      <c r="C90" s="8" t="s">
        <v>630</v>
      </c>
      <c r="D90" s="7" t="n">
        <v>1</v>
      </c>
      <c r="E90" s="15" t="s">
        <v>629</v>
      </c>
      <c r="F90" s="15"/>
      <c r="G90" s="15"/>
    </row>
    <row r="91" customFormat="false" ht="15" hidden="false" customHeight="false" outlineLevel="0" collapsed="false">
      <c r="A91" s="7" t="s">
        <v>33</v>
      </c>
      <c r="B91" s="8" t="s">
        <v>49</v>
      </c>
      <c r="C91" s="8" t="s">
        <v>48</v>
      </c>
      <c r="D91" s="7" t="n">
        <v>1</v>
      </c>
      <c r="E91" s="15" t="s">
        <v>47</v>
      </c>
      <c r="F91" s="15"/>
      <c r="G91" s="15"/>
    </row>
    <row r="92" customFormat="false" ht="15" hidden="false" customHeight="false" outlineLevel="0" collapsed="false">
      <c r="A92" s="7" t="s">
        <v>33</v>
      </c>
      <c r="B92" s="8" t="s">
        <v>116</v>
      </c>
      <c r="C92" s="8" t="s">
        <v>115</v>
      </c>
      <c r="D92" s="7" t="n">
        <v>1</v>
      </c>
      <c r="E92" s="15" t="s">
        <v>114</v>
      </c>
      <c r="F92" s="15"/>
      <c r="G92" s="15"/>
    </row>
    <row r="93" customFormat="false" ht="15" hidden="false" customHeight="false" outlineLevel="0" collapsed="false">
      <c r="A93" s="7" t="s">
        <v>33</v>
      </c>
      <c r="B93" s="8" t="s">
        <v>587</v>
      </c>
      <c r="C93" s="8" t="s">
        <v>586</v>
      </c>
      <c r="D93" s="7" t="n">
        <v>1</v>
      </c>
      <c r="E93" s="15" t="s">
        <v>585</v>
      </c>
      <c r="F93" s="15"/>
      <c r="G93" s="15"/>
    </row>
    <row r="94" customFormat="false" ht="15" hidden="false" customHeight="false" outlineLevel="0" collapsed="false">
      <c r="A94" s="7" t="s">
        <v>33</v>
      </c>
      <c r="B94" s="8" t="s">
        <v>589</v>
      </c>
      <c r="C94" s="8" t="s">
        <v>588</v>
      </c>
      <c r="D94" s="7" t="n">
        <v>1</v>
      </c>
      <c r="E94" s="15" t="s">
        <v>585</v>
      </c>
      <c r="F94" s="15"/>
      <c r="G94" s="15"/>
    </row>
    <row r="95" customFormat="false" ht="15" hidden="false" customHeight="false" outlineLevel="0" collapsed="false">
      <c r="A95" s="7" t="s">
        <v>33</v>
      </c>
      <c r="B95" s="8" t="s">
        <v>430</v>
      </c>
      <c r="C95" s="8" t="s">
        <v>429</v>
      </c>
      <c r="D95" s="7" t="n">
        <v>1</v>
      </c>
      <c r="E95" s="15" t="s">
        <v>428</v>
      </c>
      <c r="F95" s="15"/>
      <c r="G95" s="15"/>
    </row>
    <row r="96" customFormat="false" ht="15" hidden="false" customHeight="false" outlineLevel="0" collapsed="false">
      <c r="A96" s="7" t="s">
        <v>33</v>
      </c>
      <c r="B96" s="8" t="s">
        <v>598</v>
      </c>
      <c r="C96" s="8" t="s">
        <v>597</v>
      </c>
      <c r="D96" s="7" t="n">
        <v>1</v>
      </c>
      <c r="E96" s="15" t="s">
        <v>596</v>
      </c>
      <c r="F96" s="15"/>
      <c r="G96" s="15"/>
    </row>
    <row r="97" customFormat="false" ht="15" hidden="false" customHeight="false" outlineLevel="0" collapsed="false">
      <c r="A97" s="7" t="s">
        <v>33</v>
      </c>
      <c r="B97" s="8" t="s">
        <v>604</v>
      </c>
      <c r="C97" s="8" t="s">
        <v>603</v>
      </c>
      <c r="D97" s="7" t="n">
        <v>1</v>
      </c>
      <c r="E97" s="15" t="s">
        <v>602</v>
      </c>
      <c r="F97" s="15"/>
      <c r="G97" s="15"/>
    </row>
    <row r="98" customFormat="false" ht="15" hidden="false" customHeight="false" outlineLevel="0" collapsed="false">
      <c r="A98" s="7" t="s">
        <v>33</v>
      </c>
      <c r="B98" s="8" t="s">
        <v>717</v>
      </c>
      <c r="C98" s="8" t="s">
        <v>716</v>
      </c>
      <c r="D98" s="7" t="n">
        <v>1</v>
      </c>
      <c r="E98" s="15" t="s">
        <v>715</v>
      </c>
      <c r="F98" s="15"/>
      <c r="G98" s="15"/>
    </row>
    <row r="99" customFormat="false" ht="15" hidden="false" customHeight="false" outlineLevel="0" collapsed="false">
      <c r="A99" s="7" t="s">
        <v>33</v>
      </c>
      <c r="B99" s="8" t="s">
        <v>927</v>
      </c>
      <c r="C99" s="8" t="s">
        <v>926</v>
      </c>
      <c r="D99" s="7" t="n">
        <v>1</v>
      </c>
      <c r="E99" s="15" t="s">
        <v>925</v>
      </c>
      <c r="F99" s="15"/>
      <c r="G99" s="15"/>
    </row>
    <row r="100" customFormat="false" ht="15" hidden="false" customHeight="false" outlineLevel="0" collapsed="false">
      <c r="A100" s="7" t="s">
        <v>33</v>
      </c>
      <c r="B100" s="8" t="s">
        <v>866</v>
      </c>
      <c r="C100" s="8" t="s">
        <v>865</v>
      </c>
      <c r="D100" s="7" t="n">
        <v>1</v>
      </c>
      <c r="E100" s="15" t="s">
        <v>864</v>
      </c>
      <c r="F100" s="15"/>
      <c r="G100" s="15"/>
    </row>
    <row r="101" customFormat="false" ht="15" hidden="false" customHeight="false" outlineLevel="0" collapsed="false">
      <c r="A101" s="7" t="s">
        <v>33</v>
      </c>
      <c r="B101" s="8" t="s">
        <v>860</v>
      </c>
      <c r="C101" s="8" t="s">
        <v>859</v>
      </c>
      <c r="D101" s="7" t="n">
        <v>1</v>
      </c>
      <c r="E101" s="15" t="s">
        <v>858</v>
      </c>
      <c r="F101" s="15"/>
      <c r="G101" s="15"/>
    </row>
    <row r="102" customFormat="false" ht="15" hidden="false" customHeight="false" outlineLevel="0" collapsed="false">
      <c r="A102" s="7" t="s">
        <v>33</v>
      </c>
      <c r="B102" s="8" t="s">
        <v>233</v>
      </c>
      <c r="C102" s="8" t="s">
        <v>232</v>
      </c>
      <c r="D102" s="7" t="n">
        <v>2</v>
      </c>
      <c r="E102" s="15" t="s">
        <v>2719</v>
      </c>
      <c r="F102" s="13" t="s">
        <v>87</v>
      </c>
      <c r="G102" s="14" t="s">
        <v>234</v>
      </c>
    </row>
    <row r="103" customFormat="false" ht="15" hidden="false" customHeight="false" outlineLevel="0" collapsed="false">
      <c r="A103" s="7" t="s">
        <v>33</v>
      </c>
      <c r="B103" s="8" t="s">
        <v>299</v>
      </c>
      <c r="C103" s="8" t="s">
        <v>298</v>
      </c>
      <c r="D103" s="7" t="n">
        <v>1</v>
      </c>
      <c r="E103" s="15" t="s">
        <v>297</v>
      </c>
      <c r="F103" s="15"/>
      <c r="G103" s="15"/>
    </row>
    <row r="104" customFormat="false" ht="15" hidden="false" customHeight="false" outlineLevel="0" collapsed="false">
      <c r="A104" s="7" t="s">
        <v>33</v>
      </c>
      <c r="B104" s="8" t="s">
        <v>794</v>
      </c>
      <c r="C104" s="8" t="s">
        <v>793</v>
      </c>
      <c r="D104" s="7" t="n">
        <v>1</v>
      </c>
      <c r="E104" s="15" t="s">
        <v>792</v>
      </c>
      <c r="F104" s="15"/>
      <c r="G104" s="15"/>
    </row>
    <row r="105" customFormat="false" ht="15" hidden="false" customHeight="false" outlineLevel="0" collapsed="false">
      <c r="A105" s="7" t="s">
        <v>33</v>
      </c>
      <c r="B105" s="8" t="s">
        <v>345</v>
      </c>
      <c r="C105" s="8" t="s">
        <v>344</v>
      </c>
      <c r="D105" s="7" t="n">
        <v>1</v>
      </c>
      <c r="E105" s="15" t="s">
        <v>343</v>
      </c>
      <c r="F105" s="15"/>
      <c r="G105" s="15"/>
    </row>
    <row r="106" customFormat="false" ht="15" hidden="false" customHeight="false" outlineLevel="0" collapsed="false">
      <c r="A106" s="7" t="s">
        <v>33</v>
      </c>
      <c r="B106" s="8" t="s">
        <v>619</v>
      </c>
      <c r="C106" s="8" t="s">
        <v>618</v>
      </c>
      <c r="D106" s="7" t="n">
        <v>1</v>
      </c>
      <c r="E106" s="15" t="s">
        <v>617</v>
      </c>
      <c r="F106" s="15"/>
      <c r="G106" s="15"/>
    </row>
    <row r="107" customFormat="false" ht="15" hidden="false" customHeight="false" outlineLevel="0" collapsed="false">
      <c r="A107" s="7" t="s">
        <v>33</v>
      </c>
      <c r="B107" s="8" t="s">
        <v>205</v>
      </c>
      <c r="C107" s="8" t="s">
        <v>204</v>
      </c>
      <c r="D107" s="7" t="n">
        <v>1</v>
      </c>
      <c r="E107" s="15" t="s">
        <v>203</v>
      </c>
      <c r="F107" s="15"/>
      <c r="G107" s="15"/>
    </row>
    <row r="108" customFormat="false" ht="15" hidden="false" customHeight="false" outlineLevel="0" collapsed="false">
      <c r="A108" s="7" t="s">
        <v>33</v>
      </c>
      <c r="B108" s="8" t="s">
        <v>401</v>
      </c>
      <c r="C108" s="8" t="s">
        <v>400</v>
      </c>
      <c r="D108" s="7" t="n">
        <v>1</v>
      </c>
      <c r="E108" s="15" t="s">
        <v>399</v>
      </c>
      <c r="F108" s="15"/>
      <c r="G108" s="15"/>
    </row>
    <row r="109" customFormat="false" ht="15" hidden="false" customHeight="false" outlineLevel="0" collapsed="false">
      <c r="A109" s="7" t="s">
        <v>33</v>
      </c>
      <c r="B109" s="8" t="s">
        <v>882</v>
      </c>
      <c r="C109" s="8" t="s">
        <v>881</v>
      </c>
      <c r="D109" s="7" t="n">
        <v>1</v>
      </c>
      <c r="E109" s="15" t="s">
        <v>880</v>
      </c>
      <c r="F109" s="15"/>
      <c r="G109" s="15"/>
    </row>
    <row r="110" customFormat="false" ht="15" hidden="false" customHeight="false" outlineLevel="0" collapsed="false">
      <c r="A110" s="7" t="s">
        <v>33</v>
      </c>
      <c r="B110" s="8" t="s">
        <v>896</v>
      </c>
      <c r="C110" s="8" t="s">
        <v>895</v>
      </c>
      <c r="D110" s="7" t="n">
        <v>1</v>
      </c>
      <c r="E110" s="15" t="s">
        <v>894</v>
      </c>
      <c r="F110" s="15"/>
      <c r="G110" s="15"/>
    </row>
    <row r="111" customFormat="false" ht="15" hidden="false" customHeight="false" outlineLevel="0" collapsed="false">
      <c r="A111" s="7" t="s">
        <v>33</v>
      </c>
      <c r="B111" s="8" t="s">
        <v>86</v>
      </c>
      <c r="C111" s="8" t="s">
        <v>85</v>
      </c>
      <c r="D111" s="7" t="n">
        <v>2</v>
      </c>
      <c r="E111" s="15" t="s">
        <v>2720</v>
      </c>
      <c r="F111" s="13" t="s">
        <v>87</v>
      </c>
      <c r="G111" s="14"/>
    </row>
    <row r="112" customFormat="false" ht="15" hidden="false" customHeight="false" outlineLevel="0" collapsed="false">
      <c r="A112" s="7" t="s">
        <v>33</v>
      </c>
      <c r="B112" s="8" t="s">
        <v>765</v>
      </c>
      <c r="C112" s="8" t="s">
        <v>764</v>
      </c>
      <c r="D112" s="7" t="n">
        <v>1</v>
      </c>
      <c r="E112" s="15" t="s">
        <v>761</v>
      </c>
      <c r="F112" s="15"/>
      <c r="G112" s="15"/>
    </row>
    <row r="113" customFormat="false" ht="15" hidden="false" customHeight="false" outlineLevel="0" collapsed="false">
      <c r="A113" s="7" t="s">
        <v>33</v>
      </c>
      <c r="B113" s="8" t="s">
        <v>210</v>
      </c>
      <c r="C113" s="8" t="s">
        <v>209</v>
      </c>
      <c r="D113" s="7" t="n">
        <v>2</v>
      </c>
      <c r="E113" s="15" t="s">
        <v>2721</v>
      </c>
      <c r="F113" s="13" t="s">
        <v>87</v>
      </c>
      <c r="G113" s="14"/>
    </row>
    <row r="114" customFormat="false" ht="15" hidden="false" customHeight="false" outlineLevel="0" collapsed="false">
      <c r="A114" s="7" t="s">
        <v>33</v>
      </c>
      <c r="B114" s="8" t="s">
        <v>155</v>
      </c>
      <c r="C114" s="8" t="s">
        <v>154</v>
      </c>
      <c r="D114" s="7" t="n">
        <v>1</v>
      </c>
      <c r="E114" s="15" t="s">
        <v>153</v>
      </c>
      <c r="F114" s="15"/>
      <c r="G114" s="15"/>
    </row>
    <row r="115" customFormat="false" ht="15" hidden="false" customHeight="false" outlineLevel="0" collapsed="false">
      <c r="A115" s="7" t="s">
        <v>33</v>
      </c>
      <c r="B115" s="8" t="s">
        <v>663</v>
      </c>
      <c r="C115" s="8" t="s">
        <v>661</v>
      </c>
      <c r="D115" s="7" t="n">
        <v>1</v>
      </c>
      <c r="E115" s="15" t="s">
        <v>660</v>
      </c>
      <c r="F115" s="15"/>
      <c r="G115" s="15"/>
    </row>
    <row r="116" customFormat="false" ht="15" hidden="false" customHeight="false" outlineLevel="0" collapsed="false">
      <c r="A116" s="7" t="s">
        <v>33</v>
      </c>
      <c r="B116" s="8" t="s">
        <v>918</v>
      </c>
      <c r="C116" s="8" t="s">
        <v>917</v>
      </c>
      <c r="D116" s="7" t="n">
        <v>1</v>
      </c>
      <c r="E116" s="15" t="s">
        <v>916</v>
      </c>
      <c r="F116" s="15"/>
      <c r="G116" s="15"/>
    </row>
    <row r="117" customFormat="false" ht="15" hidden="false" customHeight="false" outlineLevel="0" collapsed="false">
      <c r="A117" s="7" t="s">
        <v>33</v>
      </c>
      <c r="B117" s="8" t="s">
        <v>934</v>
      </c>
      <c r="C117" s="8" t="s">
        <v>933</v>
      </c>
      <c r="D117" s="7" t="n">
        <v>1</v>
      </c>
      <c r="E117" s="15" t="s">
        <v>932</v>
      </c>
      <c r="F117" s="15"/>
      <c r="G117" s="15"/>
    </row>
    <row r="118" customFormat="false" ht="15" hidden="false" customHeight="false" outlineLevel="0" collapsed="false">
      <c r="A118" s="7" t="s">
        <v>33</v>
      </c>
      <c r="B118" s="8" t="s">
        <v>314</v>
      </c>
      <c r="C118" s="8" t="s">
        <v>313</v>
      </c>
      <c r="D118" s="7" t="n">
        <v>1</v>
      </c>
      <c r="E118" s="15" t="s">
        <v>312</v>
      </c>
      <c r="F118" s="15"/>
      <c r="G118" s="15"/>
    </row>
    <row r="119" customFormat="false" ht="15" hidden="false" customHeight="false" outlineLevel="0" collapsed="false">
      <c r="A119" s="7" t="s">
        <v>33</v>
      </c>
      <c r="B119" s="8" t="s">
        <v>812</v>
      </c>
      <c r="C119" s="8" t="s">
        <v>811</v>
      </c>
      <c r="D119" s="7" t="n">
        <v>1</v>
      </c>
      <c r="E119" s="15" t="s">
        <v>810</v>
      </c>
      <c r="F119" s="15"/>
      <c r="G119" s="15"/>
    </row>
    <row r="120" customFormat="false" ht="15" hidden="false" customHeight="false" outlineLevel="0" collapsed="false">
      <c r="A120" s="7" t="s">
        <v>33</v>
      </c>
      <c r="B120" s="8" t="s">
        <v>90</v>
      </c>
      <c r="C120" s="8" t="s">
        <v>89</v>
      </c>
      <c r="D120" s="7" t="n">
        <v>1</v>
      </c>
      <c r="E120" s="15" t="s">
        <v>88</v>
      </c>
      <c r="F120" s="15"/>
      <c r="G120" s="15"/>
    </row>
    <row r="121" customFormat="false" ht="15" hidden="false" customHeight="false" outlineLevel="0" collapsed="false">
      <c r="A121" s="7" t="s">
        <v>33</v>
      </c>
      <c r="B121" s="8" t="s">
        <v>191</v>
      </c>
      <c r="C121" s="8" t="s">
        <v>2722</v>
      </c>
      <c r="D121" s="7" t="n">
        <v>2</v>
      </c>
      <c r="E121" s="15" t="s">
        <v>2723</v>
      </c>
      <c r="F121" s="13" t="s">
        <v>87</v>
      </c>
      <c r="G121" s="14"/>
    </row>
    <row r="122" customFormat="false" ht="15" hidden="false" customHeight="false" outlineLevel="0" collapsed="false">
      <c r="A122" s="7" t="s">
        <v>33</v>
      </c>
      <c r="B122" s="8" t="s">
        <v>217</v>
      </c>
      <c r="C122" s="8" t="s">
        <v>216</v>
      </c>
      <c r="D122" s="7" t="n">
        <v>1</v>
      </c>
      <c r="E122" s="15" t="s">
        <v>213</v>
      </c>
      <c r="F122" s="13" t="s">
        <v>74</v>
      </c>
      <c r="G122" s="14"/>
    </row>
    <row r="123" customFormat="false" ht="15" hidden="false" customHeight="false" outlineLevel="0" collapsed="false">
      <c r="A123" s="7" t="s">
        <v>33</v>
      </c>
      <c r="B123" s="8" t="s">
        <v>181</v>
      </c>
      <c r="C123" s="8" t="s">
        <v>180</v>
      </c>
      <c r="D123" s="7" t="n">
        <v>1</v>
      </c>
      <c r="E123" s="15" t="s">
        <v>177</v>
      </c>
      <c r="F123" s="15"/>
      <c r="G123" s="15"/>
    </row>
    <row r="124" customFormat="false" ht="15" hidden="false" customHeight="false" outlineLevel="0" collapsed="false">
      <c r="A124" s="7" t="s">
        <v>33</v>
      </c>
      <c r="B124" s="8" t="s">
        <v>712</v>
      </c>
      <c r="C124" s="8" t="s">
        <v>711</v>
      </c>
      <c r="D124" s="7" t="n">
        <v>1</v>
      </c>
      <c r="E124" s="15" t="s">
        <v>710</v>
      </c>
      <c r="F124" s="15"/>
      <c r="G124" s="15"/>
    </row>
    <row r="125" customFormat="false" ht="15" hidden="false" customHeight="false" outlineLevel="0" collapsed="false">
      <c r="A125" s="7" t="s">
        <v>33</v>
      </c>
      <c r="B125" s="8" t="s">
        <v>62</v>
      </c>
      <c r="C125" s="8" t="s">
        <v>61</v>
      </c>
      <c r="D125" s="7" t="n">
        <v>1</v>
      </c>
      <c r="E125" s="15" t="s">
        <v>60</v>
      </c>
      <c r="F125" s="15"/>
      <c r="G125" s="15"/>
    </row>
    <row r="126" customFormat="false" ht="15" hidden="false" customHeight="false" outlineLevel="0" collapsed="false">
      <c r="A126" s="7" t="s">
        <v>33</v>
      </c>
      <c r="B126" s="8" t="s">
        <v>410</v>
      </c>
      <c r="C126" s="8" t="s">
        <v>409</v>
      </c>
      <c r="D126" s="7" t="n">
        <v>1</v>
      </c>
      <c r="E126" s="15" t="s">
        <v>408</v>
      </c>
      <c r="F126" s="15"/>
      <c r="G126" s="15"/>
    </row>
    <row r="127" customFormat="false" ht="15" hidden="false" customHeight="false" outlineLevel="0" collapsed="false">
      <c r="A127" s="7" t="s">
        <v>33</v>
      </c>
      <c r="B127" s="8" t="s">
        <v>311</v>
      </c>
      <c r="C127" s="8" t="s">
        <v>310</v>
      </c>
      <c r="D127" s="7" t="n">
        <v>1</v>
      </c>
      <c r="E127" s="15" t="s">
        <v>309</v>
      </c>
      <c r="F127" s="15"/>
      <c r="G127" s="15"/>
    </row>
    <row r="128" customFormat="false" ht="15" hidden="false" customHeight="false" outlineLevel="0" collapsed="false">
      <c r="A128" s="7" t="s">
        <v>33</v>
      </c>
      <c r="B128" s="8" t="s">
        <v>493</v>
      </c>
      <c r="C128" s="8" t="s">
        <v>492</v>
      </c>
      <c r="D128" s="7" t="n">
        <v>1</v>
      </c>
      <c r="E128" s="15" t="s">
        <v>491</v>
      </c>
      <c r="F128" s="15"/>
      <c r="G128" s="15"/>
    </row>
    <row r="129" customFormat="false" ht="15" hidden="false" customHeight="false" outlineLevel="0" collapsed="false">
      <c r="A129" s="7" t="s">
        <v>33</v>
      </c>
      <c r="B129" s="8" t="s">
        <v>1020</v>
      </c>
      <c r="C129" s="8" t="s">
        <v>1019</v>
      </c>
      <c r="D129" s="7" t="n">
        <v>1</v>
      </c>
      <c r="E129" s="15" t="s">
        <v>1018</v>
      </c>
      <c r="F129" s="15"/>
      <c r="G129" s="15"/>
    </row>
    <row r="130" customFormat="false" ht="15" hidden="false" customHeight="false" outlineLevel="0" collapsed="false">
      <c r="A130" s="7" t="s">
        <v>33</v>
      </c>
      <c r="B130" s="8" t="s">
        <v>296</v>
      </c>
      <c r="C130" s="8" t="s">
        <v>295</v>
      </c>
      <c r="D130" s="7" t="n">
        <v>1</v>
      </c>
      <c r="E130" s="15" t="s">
        <v>294</v>
      </c>
      <c r="F130" s="15"/>
      <c r="G130" s="15"/>
    </row>
    <row r="131" customFormat="false" ht="15" hidden="false" customHeight="false" outlineLevel="0" collapsed="false">
      <c r="A131" s="7" t="s">
        <v>33</v>
      </c>
      <c r="B131" s="8" t="s">
        <v>666</v>
      </c>
      <c r="C131" s="8" t="s">
        <v>665</v>
      </c>
      <c r="D131" s="7" t="n">
        <v>1</v>
      </c>
      <c r="E131" s="15" t="s">
        <v>664</v>
      </c>
      <c r="F131" s="15"/>
      <c r="G131" s="15"/>
    </row>
    <row r="132" customFormat="false" ht="15" hidden="false" customHeight="false" outlineLevel="0" collapsed="false">
      <c r="A132" s="7" t="s">
        <v>33</v>
      </c>
      <c r="B132" s="8" t="s">
        <v>230</v>
      </c>
      <c r="C132" s="8" t="s">
        <v>229</v>
      </c>
      <c r="D132" s="7" t="n">
        <v>1</v>
      </c>
      <c r="E132" s="15" t="s">
        <v>228</v>
      </c>
      <c r="F132" s="15"/>
      <c r="G132" s="15"/>
    </row>
    <row r="133" customFormat="false" ht="15" hidden="false" customHeight="false" outlineLevel="0" collapsed="false">
      <c r="A133" s="7" t="s">
        <v>33</v>
      </c>
      <c r="B133" s="8" t="s">
        <v>356</v>
      </c>
      <c r="C133" s="8" t="s">
        <v>355</v>
      </c>
      <c r="D133" s="7" t="n">
        <v>1</v>
      </c>
      <c r="E133" s="15" t="s">
        <v>354</v>
      </c>
      <c r="F133" s="15"/>
      <c r="G133" s="15"/>
    </row>
    <row r="134" customFormat="false" ht="15" hidden="false" customHeight="false" outlineLevel="0" collapsed="false">
      <c r="A134" s="7" t="s">
        <v>33</v>
      </c>
      <c r="B134" s="8" t="s">
        <v>139</v>
      </c>
      <c r="C134" s="8" t="s">
        <v>138</v>
      </c>
      <c r="D134" s="7" t="n">
        <v>1</v>
      </c>
      <c r="E134" s="15" t="s">
        <v>137</v>
      </c>
      <c r="F134" s="14"/>
      <c r="G134" s="14" t="s">
        <v>140</v>
      </c>
    </row>
    <row r="135" customFormat="false" ht="15" hidden="false" customHeight="false" outlineLevel="0" collapsed="false">
      <c r="A135" s="7" t="s">
        <v>33</v>
      </c>
      <c r="B135" s="8" t="s">
        <v>143</v>
      </c>
      <c r="C135" s="8" t="s">
        <v>2724</v>
      </c>
      <c r="D135" s="7" t="n">
        <v>4</v>
      </c>
      <c r="E135" s="15" t="s">
        <v>2725</v>
      </c>
      <c r="F135" s="13" t="s">
        <v>87</v>
      </c>
      <c r="G135" s="14"/>
    </row>
    <row r="136" customFormat="false" ht="15" hidden="false" customHeight="false" outlineLevel="0" collapsed="false">
      <c r="A136" s="7" t="s">
        <v>33</v>
      </c>
      <c r="B136" s="8" t="s">
        <v>473</v>
      </c>
      <c r="C136" s="8" t="s">
        <v>472</v>
      </c>
      <c r="D136" s="7" t="n">
        <v>1</v>
      </c>
      <c r="E136" s="15" t="s">
        <v>471</v>
      </c>
      <c r="F136" s="15"/>
      <c r="G136" s="15"/>
    </row>
    <row r="137" customFormat="false" ht="15" hidden="false" customHeight="false" outlineLevel="0" collapsed="false">
      <c r="A137" s="7" t="s">
        <v>33</v>
      </c>
      <c r="B137" s="8" t="s">
        <v>637</v>
      </c>
      <c r="C137" s="8" t="s">
        <v>636</v>
      </c>
      <c r="D137" s="7" t="n">
        <v>2</v>
      </c>
      <c r="E137" s="15" t="s">
        <v>2726</v>
      </c>
      <c r="F137" s="13" t="s">
        <v>87</v>
      </c>
      <c r="G137" s="14"/>
    </row>
    <row r="138" customFormat="false" ht="15" hidden="false" customHeight="false" outlineLevel="0" collapsed="false">
      <c r="A138" s="7" t="s">
        <v>33</v>
      </c>
      <c r="B138" s="8" t="s">
        <v>477</v>
      </c>
      <c r="C138" s="8" t="s">
        <v>476</v>
      </c>
      <c r="D138" s="7" t="n">
        <v>1</v>
      </c>
      <c r="E138" s="15" t="s">
        <v>475</v>
      </c>
      <c r="F138" s="15"/>
      <c r="G138" s="15"/>
    </row>
    <row r="139" customFormat="false" ht="15" hidden="false" customHeight="false" outlineLevel="0" collapsed="false">
      <c r="A139" s="7" t="s">
        <v>33</v>
      </c>
      <c r="B139" s="8" t="s">
        <v>490</v>
      </c>
      <c r="C139" s="8" t="s">
        <v>489</v>
      </c>
      <c r="D139" s="7" t="n">
        <v>1</v>
      </c>
      <c r="E139" s="15" t="s">
        <v>488</v>
      </c>
      <c r="F139" s="15"/>
      <c r="G139" s="15"/>
    </row>
    <row r="140" customFormat="false" ht="15" hidden="false" customHeight="false" outlineLevel="0" collapsed="false">
      <c r="A140" s="7" t="s">
        <v>33</v>
      </c>
      <c r="B140" s="8" t="s">
        <v>943</v>
      </c>
      <c r="C140" s="8" t="s">
        <v>942</v>
      </c>
      <c r="D140" s="7" t="n">
        <v>1</v>
      </c>
      <c r="E140" s="15" t="s">
        <v>941</v>
      </c>
      <c r="F140" s="15"/>
      <c r="G140" s="15"/>
    </row>
    <row r="141" customFormat="false" ht="15" hidden="false" customHeight="false" outlineLevel="0" collapsed="false">
      <c r="A141" s="7" t="s">
        <v>33</v>
      </c>
      <c r="B141" s="8" t="s">
        <v>833</v>
      </c>
      <c r="C141" s="8" t="s">
        <v>832</v>
      </c>
      <c r="D141" s="7" t="n">
        <v>1</v>
      </c>
      <c r="E141" s="15" t="s">
        <v>831</v>
      </c>
      <c r="F141" s="14"/>
      <c r="G141" s="14" t="s">
        <v>834</v>
      </c>
    </row>
    <row r="142" customFormat="false" ht="15" hidden="false" customHeight="false" outlineLevel="0" collapsed="false">
      <c r="A142" s="7" t="s">
        <v>33</v>
      </c>
      <c r="B142" s="8" t="s">
        <v>842</v>
      </c>
      <c r="C142" s="8" t="s">
        <v>841</v>
      </c>
      <c r="D142" s="7" t="n">
        <v>1</v>
      </c>
      <c r="E142" s="15" t="s">
        <v>840</v>
      </c>
      <c r="F142" s="15"/>
      <c r="G142" s="15"/>
    </row>
    <row r="143" customFormat="false" ht="15" hidden="false" customHeight="false" outlineLevel="0" collapsed="false">
      <c r="A143" s="7" t="s">
        <v>33</v>
      </c>
      <c r="B143" s="8" t="s">
        <v>499</v>
      </c>
      <c r="C143" s="8" t="s">
        <v>498</v>
      </c>
      <c r="D143" s="7" t="n">
        <v>1</v>
      </c>
      <c r="E143" s="15" t="s">
        <v>497</v>
      </c>
      <c r="F143" s="14" t="s">
        <v>500</v>
      </c>
      <c r="G143" s="14" t="s">
        <v>501</v>
      </c>
    </row>
    <row r="144" customFormat="false" ht="15" hidden="false" customHeight="false" outlineLevel="0" collapsed="false">
      <c r="A144" s="7" t="s">
        <v>33</v>
      </c>
      <c r="B144" s="8" t="s">
        <v>698</v>
      </c>
      <c r="C144" s="8" t="s">
        <v>697</v>
      </c>
      <c r="D144" s="7" t="n">
        <v>2</v>
      </c>
      <c r="E144" s="15" t="s">
        <v>2727</v>
      </c>
      <c r="F144" s="13" t="s">
        <v>87</v>
      </c>
      <c r="G144" s="14"/>
    </row>
    <row r="145" customFormat="false" ht="15" hidden="false" customHeight="false" outlineLevel="0" collapsed="false">
      <c r="A145" s="7" t="s">
        <v>33</v>
      </c>
      <c r="B145" s="8" t="s">
        <v>504</v>
      </c>
      <c r="C145" s="8" t="s">
        <v>503</v>
      </c>
      <c r="D145" s="7" t="n">
        <v>1</v>
      </c>
      <c r="E145" s="15" t="s">
        <v>502</v>
      </c>
      <c r="F145" s="15"/>
      <c r="G145" s="15"/>
    </row>
    <row r="146" customFormat="false" ht="15" hidden="false" customHeight="false" outlineLevel="0" collapsed="false">
      <c r="A146" s="7" t="s">
        <v>33</v>
      </c>
      <c r="B146" s="8" t="s">
        <v>496</v>
      </c>
      <c r="C146" s="8" t="s">
        <v>495</v>
      </c>
      <c r="D146" s="7" t="n">
        <v>1</v>
      </c>
      <c r="E146" s="15" t="s">
        <v>494</v>
      </c>
      <c r="F146" s="15"/>
      <c r="G146" s="15"/>
    </row>
    <row r="147" customFormat="false" ht="15" hidden="false" customHeight="false" outlineLevel="0" collapsed="false">
      <c r="A147" s="7" t="s">
        <v>33</v>
      </c>
      <c r="B147" s="8" t="s">
        <v>836</v>
      </c>
      <c r="C147" s="8" t="s">
        <v>835</v>
      </c>
      <c r="D147" s="7" t="n">
        <v>1</v>
      </c>
      <c r="E147" s="15" t="s">
        <v>831</v>
      </c>
      <c r="F147" s="15"/>
      <c r="G147" s="15"/>
    </row>
    <row r="148" customFormat="false" ht="15" hidden="false" customHeight="false" outlineLevel="0" collapsed="false">
      <c r="A148" s="7" t="s">
        <v>33</v>
      </c>
      <c r="B148" s="8" t="s">
        <v>607</v>
      </c>
      <c r="C148" s="8" t="s">
        <v>606</v>
      </c>
      <c r="D148" s="7" t="n">
        <v>1</v>
      </c>
      <c r="E148" s="15" t="s">
        <v>605</v>
      </c>
      <c r="F148" s="15"/>
      <c r="G148" s="15"/>
    </row>
    <row r="149" customFormat="false" ht="15" hidden="false" customHeight="false" outlineLevel="0" collapsed="false">
      <c r="A149" s="7" t="s">
        <v>33</v>
      </c>
      <c r="B149" s="8" t="s">
        <v>541</v>
      </c>
      <c r="C149" s="8" t="s">
        <v>540</v>
      </c>
      <c r="D149" s="7" t="n">
        <v>1</v>
      </c>
      <c r="E149" s="15" t="s">
        <v>539</v>
      </c>
      <c r="F149" s="14"/>
      <c r="G149" s="14" t="s">
        <v>542</v>
      </c>
    </row>
    <row r="150" customFormat="false" ht="15" hidden="false" customHeight="false" outlineLevel="0" collapsed="false">
      <c r="A150" s="7" t="s">
        <v>33</v>
      </c>
      <c r="B150" s="8" t="s">
        <v>704</v>
      </c>
      <c r="C150" s="8" t="s">
        <v>703</v>
      </c>
      <c r="D150" s="7" t="n">
        <v>1</v>
      </c>
      <c r="E150" s="15" t="s">
        <v>702</v>
      </c>
      <c r="F150" s="15"/>
      <c r="G150" s="15"/>
    </row>
    <row r="151" customFormat="false" ht="15" hidden="false" customHeight="false" outlineLevel="0" collapsed="false">
      <c r="A151" s="7" t="s">
        <v>33</v>
      </c>
      <c r="B151" s="8" t="s">
        <v>975</v>
      </c>
      <c r="C151" s="8" t="s">
        <v>974</v>
      </c>
      <c r="D151" s="7" t="n">
        <v>1</v>
      </c>
      <c r="E151" s="15" t="s">
        <v>973</v>
      </c>
      <c r="F151" s="15"/>
      <c r="G151" s="15"/>
    </row>
    <row r="152" customFormat="false" ht="15" hidden="false" customHeight="false" outlineLevel="0" collapsed="false">
      <c r="A152" s="7" t="s">
        <v>33</v>
      </c>
      <c r="B152" s="8" t="s">
        <v>888</v>
      </c>
      <c r="C152" s="8" t="s">
        <v>887</v>
      </c>
      <c r="D152" s="7" t="n">
        <v>1</v>
      </c>
      <c r="E152" s="15" t="s">
        <v>886</v>
      </c>
      <c r="F152" s="15"/>
      <c r="G152" s="15"/>
    </row>
    <row r="153" customFormat="false" ht="15" hidden="false" customHeight="false" outlineLevel="0" collapsed="false">
      <c r="A153" s="7" t="s">
        <v>33</v>
      </c>
      <c r="B153" s="8" t="s">
        <v>808</v>
      </c>
      <c r="C153" s="8" t="s">
        <v>806</v>
      </c>
      <c r="D153" s="7" t="n">
        <v>1</v>
      </c>
      <c r="E153" s="15" t="s">
        <v>805</v>
      </c>
      <c r="F153" s="13" t="s">
        <v>56</v>
      </c>
      <c r="G153" s="14" t="s">
        <v>809</v>
      </c>
    </row>
    <row r="154" customFormat="false" ht="15" hidden="false" customHeight="false" outlineLevel="0" collapsed="false">
      <c r="A154" s="7" t="s">
        <v>33</v>
      </c>
      <c r="B154" s="8" t="s">
        <v>379</v>
      </c>
      <c r="C154" s="8" t="s">
        <v>378</v>
      </c>
      <c r="D154" s="7" t="n">
        <v>1</v>
      </c>
      <c r="E154" s="15" t="s">
        <v>377</v>
      </c>
      <c r="F154" s="15"/>
      <c r="G154" s="15"/>
    </row>
    <row r="155" customFormat="false" ht="29.85" hidden="false" customHeight="false" outlineLevel="0" collapsed="false">
      <c r="A155" s="7" t="s">
        <v>33</v>
      </c>
      <c r="B155" s="8" t="s">
        <v>44</v>
      </c>
      <c r="C155" s="8" t="s">
        <v>43</v>
      </c>
      <c r="D155" s="7" t="n">
        <v>1</v>
      </c>
      <c r="E155" s="15" t="s">
        <v>42</v>
      </c>
      <c r="F155" s="13" t="s">
        <v>45</v>
      </c>
      <c r="G155" s="14" t="s">
        <v>46</v>
      </c>
    </row>
    <row r="156" customFormat="false" ht="15" hidden="false" customHeight="false" outlineLevel="0" collapsed="false">
      <c r="A156" s="7" t="s">
        <v>33</v>
      </c>
      <c r="B156" s="8" t="s">
        <v>690</v>
      </c>
      <c r="C156" s="8" t="s">
        <v>689</v>
      </c>
      <c r="D156" s="7" t="n">
        <v>1</v>
      </c>
      <c r="E156" s="15" t="s">
        <v>686</v>
      </c>
      <c r="F156" s="15"/>
      <c r="G156" s="15"/>
    </row>
    <row r="157" customFormat="false" ht="15" hidden="false" customHeight="false" outlineLevel="0" collapsed="false">
      <c r="A157" s="7" t="s">
        <v>33</v>
      </c>
      <c r="B157" s="8" t="s">
        <v>105</v>
      </c>
      <c r="C157" s="8" t="s">
        <v>2728</v>
      </c>
      <c r="D157" s="7" t="n">
        <v>2</v>
      </c>
      <c r="E157" s="15" t="s">
        <v>2729</v>
      </c>
      <c r="F157" s="13" t="s">
        <v>87</v>
      </c>
      <c r="G157" s="14"/>
    </row>
    <row r="158" customFormat="false" ht="15" hidden="false" customHeight="false" outlineLevel="0" collapsed="false">
      <c r="A158" s="7" t="s">
        <v>33</v>
      </c>
      <c r="B158" s="8" t="s">
        <v>412</v>
      </c>
      <c r="C158" s="8" t="s">
        <v>411</v>
      </c>
      <c r="D158" s="7" t="n">
        <v>1</v>
      </c>
      <c r="E158" s="15" t="s">
        <v>408</v>
      </c>
      <c r="F158" s="15"/>
      <c r="G158" s="15"/>
    </row>
    <row r="159" customFormat="false" ht="15" hidden="false" customHeight="false" outlineLevel="0" collapsed="false">
      <c r="A159" s="7" t="s">
        <v>33</v>
      </c>
      <c r="B159" s="8" t="s">
        <v>278</v>
      </c>
      <c r="C159" s="8" t="s">
        <v>277</v>
      </c>
      <c r="D159" s="7" t="n">
        <v>1</v>
      </c>
      <c r="E159" s="15" t="s">
        <v>276</v>
      </c>
      <c r="F159" s="15"/>
      <c r="G159" s="15"/>
    </row>
    <row r="160" customFormat="false" ht="15" hidden="false" customHeight="false" outlineLevel="0" collapsed="false">
      <c r="A160" s="7" t="s">
        <v>33</v>
      </c>
      <c r="B160" s="8" t="s">
        <v>953</v>
      </c>
      <c r="C160" s="8" t="s">
        <v>952</v>
      </c>
      <c r="D160" s="7" t="n">
        <v>1</v>
      </c>
      <c r="E160" s="15" t="s">
        <v>951</v>
      </c>
      <c r="F160" s="15"/>
      <c r="G160" s="15"/>
    </row>
    <row r="161" customFormat="false" ht="15" hidden="false" customHeight="false" outlineLevel="0" collapsed="false">
      <c r="A161" s="7" t="s">
        <v>33</v>
      </c>
      <c r="B161" s="8" t="s">
        <v>107</v>
      </c>
      <c r="C161" s="8" t="s">
        <v>106</v>
      </c>
      <c r="D161" s="7" t="n">
        <v>2</v>
      </c>
      <c r="E161" s="15" t="s">
        <v>2730</v>
      </c>
      <c r="F161" s="13" t="s">
        <v>87</v>
      </c>
      <c r="G161" s="14"/>
    </row>
    <row r="162" customFormat="false" ht="15" hidden="false" customHeight="false" outlineLevel="0" collapsed="false">
      <c r="A162" s="7" t="s">
        <v>33</v>
      </c>
      <c r="B162" s="8" t="s">
        <v>839</v>
      </c>
      <c r="C162" s="8" t="s">
        <v>838</v>
      </c>
      <c r="D162" s="7" t="n">
        <v>1</v>
      </c>
      <c r="E162" s="15" t="s">
        <v>837</v>
      </c>
      <c r="F162" s="15"/>
      <c r="G162" s="15"/>
    </row>
    <row r="163" customFormat="false" ht="15" hidden="false" customHeight="false" outlineLevel="0" collapsed="false">
      <c r="A163" s="7" t="s">
        <v>33</v>
      </c>
      <c r="B163" s="8" t="s">
        <v>969</v>
      </c>
      <c r="C163" s="8" t="s">
        <v>968</v>
      </c>
      <c r="D163" s="7" t="n">
        <v>1</v>
      </c>
      <c r="E163" s="15" t="s">
        <v>967</v>
      </c>
      <c r="F163" s="15"/>
      <c r="G163" s="15"/>
    </row>
    <row r="164" customFormat="false" ht="15" hidden="false" customHeight="false" outlineLevel="0" collapsed="false">
      <c r="A164" s="7" t="s">
        <v>33</v>
      </c>
      <c r="B164" s="8" t="s">
        <v>240</v>
      </c>
      <c r="C164" s="8" t="s">
        <v>239</v>
      </c>
      <c r="D164" s="7" t="n">
        <v>1</v>
      </c>
      <c r="E164" s="15" t="s">
        <v>238</v>
      </c>
      <c r="F164" s="15"/>
      <c r="G164" s="15"/>
    </row>
    <row r="165" customFormat="false" ht="15" hidden="false" customHeight="false" outlineLevel="0" collapsed="false">
      <c r="A165" s="7" t="s">
        <v>33</v>
      </c>
      <c r="B165" s="8" t="s">
        <v>159</v>
      </c>
      <c r="C165" s="8" t="s">
        <v>157</v>
      </c>
      <c r="D165" s="7" t="n">
        <v>1</v>
      </c>
      <c r="E165" s="15" t="s">
        <v>156</v>
      </c>
      <c r="F165" s="15"/>
      <c r="G165" s="15"/>
    </row>
    <row r="166" customFormat="false" ht="15" hidden="false" customHeight="false" outlineLevel="0" collapsed="false">
      <c r="A166" s="7" t="s">
        <v>33</v>
      </c>
      <c r="B166" s="8" t="s">
        <v>77</v>
      </c>
      <c r="C166" s="8" t="s">
        <v>76</v>
      </c>
      <c r="D166" s="7" t="n">
        <v>1</v>
      </c>
      <c r="E166" s="15" t="s">
        <v>75</v>
      </c>
      <c r="F166" s="15"/>
      <c r="G166" s="15"/>
    </row>
    <row r="167" customFormat="false" ht="15" hidden="false" customHeight="false" outlineLevel="0" collapsed="false">
      <c r="A167" s="7" t="s">
        <v>33</v>
      </c>
      <c r="B167" s="8" t="s">
        <v>995</v>
      </c>
      <c r="C167" s="8" t="s">
        <v>994</v>
      </c>
      <c r="D167" s="7" t="n">
        <v>1</v>
      </c>
      <c r="E167" s="15" t="s">
        <v>993</v>
      </c>
      <c r="F167" s="15"/>
      <c r="G167" s="15"/>
    </row>
    <row r="168" customFormat="false" ht="15" hidden="false" customHeight="false" outlineLevel="0" collapsed="false">
      <c r="A168" s="7" t="s">
        <v>33</v>
      </c>
      <c r="B168" s="8" t="s">
        <v>773</v>
      </c>
      <c r="C168" s="8" t="s">
        <v>772</v>
      </c>
      <c r="D168" s="7" t="n">
        <v>1</v>
      </c>
      <c r="E168" s="15" t="s">
        <v>769</v>
      </c>
      <c r="F168" s="15"/>
      <c r="G168" s="15"/>
    </row>
    <row r="169" customFormat="false" ht="15" hidden="false" customHeight="false" outlineLevel="0" collapsed="false">
      <c r="A169" s="7" t="s">
        <v>33</v>
      </c>
      <c r="B169" s="8" t="s">
        <v>830</v>
      </c>
      <c r="C169" s="8" t="s">
        <v>829</v>
      </c>
      <c r="D169" s="7" t="n">
        <v>1</v>
      </c>
      <c r="E169" s="15" t="s">
        <v>828</v>
      </c>
      <c r="F169" s="15"/>
      <c r="G169" s="15"/>
    </row>
    <row r="170" customFormat="false" ht="15" hidden="false" customHeight="false" outlineLevel="0" collapsed="false">
      <c r="A170" s="7" t="s">
        <v>33</v>
      </c>
      <c r="B170" s="8" t="s">
        <v>963</v>
      </c>
      <c r="C170" s="8" t="s">
        <v>962</v>
      </c>
      <c r="D170" s="7" t="n">
        <v>1</v>
      </c>
      <c r="E170" s="15" t="s">
        <v>961</v>
      </c>
      <c r="F170" s="15"/>
      <c r="G170" s="15"/>
    </row>
    <row r="171" customFormat="false" ht="15" hidden="false" customHeight="false" outlineLevel="0" collapsed="false">
      <c r="A171" s="7" t="s">
        <v>33</v>
      </c>
      <c r="B171" s="8" t="s">
        <v>317</v>
      </c>
      <c r="C171" s="8" t="s">
        <v>316</v>
      </c>
      <c r="D171" s="7" t="n">
        <v>1</v>
      </c>
      <c r="E171" s="15" t="s">
        <v>315</v>
      </c>
      <c r="F171" s="15"/>
      <c r="G171" s="15"/>
    </row>
    <row r="172" customFormat="false" ht="15" hidden="false" customHeight="false" outlineLevel="0" collapsed="false">
      <c r="A172" s="7" t="s">
        <v>33</v>
      </c>
      <c r="B172" s="8" t="s">
        <v>912</v>
      </c>
      <c r="C172" s="8" t="s">
        <v>911</v>
      </c>
      <c r="D172" s="7" t="n">
        <v>1</v>
      </c>
      <c r="E172" s="15" t="s">
        <v>910</v>
      </c>
      <c r="F172" s="15"/>
      <c r="G172" s="15"/>
    </row>
    <row r="173" customFormat="false" ht="15" hidden="false" customHeight="false" outlineLevel="0" collapsed="false">
      <c r="A173" s="7" t="s">
        <v>33</v>
      </c>
      <c r="B173" s="8" t="s">
        <v>93</v>
      </c>
      <c r="C173" s="8" t="s">
        <v>92</v>
      </c>
      <c r="D173" s="7" t="n">
        <v>1</v>
      </c>
      <c r="E173" s="15" t="s">
        <v>91</v>
      </c>
      <c r="F173" s="15"/>
      <c r="G173" s="15"/>
    </row>
    <row r="174" customFormat="false" ht="15" hidden="false" customHeight="false" outlineLevel="0" collapsed="false">
      <c r="A174" s="7" t="s">
        <v>33</v>
      </c>
      <c r="B174" s="8" t="s">
        <v>483</v>
      </c>
      <c r="C174" s="8" t="s">
        <v>482</v>
      </c>
      <c r="D174" s="7" t="n">
        <v>1</v>
      </c>
      <c r="E174" s="15" t="s">
        <v>481</v>
      </c>
      <c r="F174" s="13" t="s">
        <v>74</v>
      </c>
      <c r="G174" s="14"/>
    </row>
    <row r="175" customFormat="false" ht="15" hidden="false" customHeight="false" outlineLevel="0" collapsed="false">
      <c r="A175" s="7" t="s">
        <v>33</v>
      </c>
      <c r="B175" s="8" t="s">
        <v>427</v>
      </c>
      <c r="C175" s="8" t="s">
        <v>426</v>
      </c>
      <c r="D175" s="7" t="n">
        <v>1</v>
      </c>
      <c r="E175" s="15" t="s">
        <v>425</v>
      </c>
      <c r="F175" s="15"/>
      <c r="G175" s="15"/>
    </row>
    <row r="176" customFormat="false" ht="15" hidden="false" customHeight="false" outlineLevel="0" collapsed="false">
      <c r="A176" s="7" t="s">
        <v>33</v>
      </c>
      <c r="B176" s="8" t="s">
        <v>55</v>
      </c>
      <c r="C176" s="8" t="s">
        <v>54</v>
      </c>
      <c r="D176" s="7" t="n">
        <v>1</v>
      </c>
      <c r="E176" s="15" t="s">
        <v>53</v>
      </c>
      <c r="F176" s="13" t="s">
        <v>56</v>
      </c>
      <c r="G176" s="14"/>
    </row>
    <row r="177" customFormat="false" ht="15" hidden="false" customHeight="false" outlineLevel="0" collapsed="false">
      <c r="A177" s="7" t="s">
        <v>33</v>
      </c>
      <c r="B177" s="8" t="s">
        <v>575</v>
      </c>
      <c r="C177" s="8" t="s">
        <v>574</v>
      </c>
      <c r="D177" s="7" t="n">
        <v>1</v>
      </c>
      <c r="E177" s="15" t="s">
        <v>573</v>
      </c>
      <c r="F177" s="15"/>
      <c r="G177" s="15"/>
    </row>
    <row r="178" customFormat="false" ht="15" hidden="false" customHeight="false" outlineLevel="0" collapsed="false">
      <c r="A178" s="7" t="s">
        <v>33</v>
      </c>
      <c r="B178" s="8" t="s">
        <v>628</v>
      </c>
      <c r="C178" s="8" t="s">
        <v>627</v>
      </c>
      <c r="D178" s="7" t="n">
        <v>1</v>
      </c>
      <c r="E178" s="15" t="s">
        <v>626</v>
      </c>
      <c r="F178" s="15"/>
      <c r="G178" s="15"/>
    </row>
    <row r="179" customFormat="false" ht="15" hidden="false" customHeight="false" outlineLevel="0" collapsed="false">
      <c r="A179" s="7" t="s">
        <v>33</v>
      </c>
      <c r="B179" s="8" t="s">
        <v>909</v>
      </c>
      <c r="C179" s="8" t="s">
        <v>908</v>
      </c>
      <c r="D179" s="7" t="n">
        <v>1</v>
      </c>
      <c r="E179" s="15" t="s">
        <v>907</v>
      </c>
      <c r="F179" s="15"/>
      <c r="G179" s="15"/>
    </row>
    <row r="180" customFormat="false" ht="15" hidden="false" customHeight="false" outlineLevel="0" collapsed="false">
      <c r="A180" s="7" t="s">
        <v>33</v>
      </c>
      <c r="B180" s="8" t="s">
        <v>613</v>
      </c>
      <c r="C180" s="8" t="s">
        <v>612</v>
      </c>
      <c r="D180" s="7" t="n">
        <v>1</v>
      </c>
      <c r="E180" s="15" t="s">
        <v>611</v>
      </c>
      <c r="F180" s="15"/>
      <c r="G180" s="15"/>
    </row>
    <row r="181" customFormat="false" ht="15" hidden="false" customHeight="false" outlineLevel="0" collapsed="false">
      <c r="A181" s="7" t="s">
        <v>33</v>
      </c>
      <c r="B181" s="8" t="s">
        <v>215</v>
      </c>
      <c r="C181" s="8" t="s">
        <v>214</v>
      </c>
      <c r="D181" s="7" t="n">
        <v>1</v>
      </c>
      <c r="E181" s="15" t="s">
        <v>213</v>
      </c>
      <c r="F181" s="15"/>
      <c r="G181" s="15"/>
    </row>
    <row r="182" customFormat="false" ht="15" hidden="false" customHeight="false" outlineLevel="0" collapsed="false">
      <c r="A182" s="7" t="s">
        <v>33</v>
      </c>
      <c r="B182" s="8" t="s">
        <v>527</v>
      </c>
      <c r="C182" s="8" t="s">
        <v>526</v>
      </c>
      <c r="D182" s="7" t="n">
        <v>1</v>
      </c>
      <c r="E182" s="15" t="s">
        <v>525</v>
      </c>
      <c r="F182" s="13" t="s">
        <v>56</v>
      </c>
      <c r="G182" s="14" t="s">
        <v>528</v>
      </c>
    </row>
    <row r="183" customFormat="false" ht="15" hidden="false" customHeight="false" outlineLevel="0" collapsed="false">
      <c r="A183" s="7" t="s">
        <v>33</v>
      </c>
      <c r="B183" s="8" t="s">
        <v>273</v>
      </c>
      <c r="C183" s="8" t="s">
        <v>272</v>
      </c>
      <c r="D183" s="7" t="n">
        <v>1</v>
      </c>
      <c r="E183" s="15" t="s">
        <v>271</v>
      </c>
      <c r="F183" s="15"/>
      <c r="G183" s="15"/>
    </row>
    <row r="184" customFormat="false" ht="15" hidden="false" customHeight="false" outlineLevel="0" collapsed="false">
      <c r="A184" s="7" t="s">
        <v>33</v>
      </c>
      <c r="B184" s="8" t="s">
        <v>821</v>
      </c>
      <c r="C184" s="8" t="s">
        <v>820</v>
      </c>
      <c r="D184" s="7" t="n">
        <v>1</v>
      </c>
      <c r="E184" s="15" t="s">
        <v>819</v>
      </c>
      <c r="F184" s="13" t="s">
        <v>74</v>
      </c>
      <c r="G184" s="14"/>
    </row>
    <row r="185" customFormat="false" ht="15" hidden="false" customHeight="false" outlineLevel="0" collapsed="false">
      <c r="A185" s="7" t="s">
        <v>33</v>
      </c>
      <c r="B185" s="8" t="s">
        <v>212</v>
      </c>
      <c r="C185" s="8" t="s">
        <v>211</v>
      </c>
      <c r="D185" s="7" t="n">
        <v>1</v>
      </c>
      <c r="E185" s="15" t="s">
        <v>208</v>
      </c>
      <c r="F185" s="15"/>
      <c r="G185" s="15"/>
    </row>
    <row r="186" customFormat="false" ht="15" hidden="false" customHeight="false" outlineLevel="0" collapsed="false">
      <c r="A186" s="7" t="s">
        <v>33</v>
      </c>
      <c r="B186" s="8" t="s">
        <v>382</v>
      </c>
      <c r="C186" s="8" t="s">
        <v>381</v>
      </c>
      <c r="D186" s="7" t="n">
        <v>1</v>
      </c>
      <c r="E186" s="15" t="s">
        <v>380</v>
      </c>
      <c r="F186" s="15"/>
      <c r="G186" s="15"/>
    </row>
    <row r="187" customFormat="false" ht="15" hidden="false" customHeight="false" outlineLevel="0" collapsed="false">
      <c r="A187" s="7" t="s">
        <v>33</v>
      </c>
      <c r="B187" s="8" t="s">
        <v>243</v>
      </c>
      <c r="C187" s="8" t="s">
        <v>242</v>
      </c>
      <c r="D187" s="7" t="n">
        <v>1</v>
      </c>
      <c r="E187" s="15" t="s">
        <v>241</v>
      </c>
      <c r="F187" s="15"/>
      <c r="G187" s="15"/>
    </row>
    <row r="188" customFormat="false" ht="15" hidden="false" customHeight="false" outlineLevel="0" collapsed="false">
      <c r="A188" s="7" t="s">
        <v>33</v>
      </c>
      <c r="B188" s="8" t="s">
        <v>763</v>
      </c>
      <c r="C188" s="8" t="s">
        <v>762</v>
      </c>
      <c r="D188" s="7" t="n">
        <v>1</v>
      </c>
      <c r="E188" s="15" t="s">
        <v>761</v>
      </c>
      <c r="F188" s="15"/>
      <c r="G188" s="15"/>
    </row>
    <row r="189" customFormat="false" ht="15" hidden="false" customHeight="false" outlineLevel="0" collapsed="false">
      <c r="A189" s="7" t="s">
        <v>33</v>
      </c>
      <c r="B189" s="8" t="s">
        <v>261</v>
      </c>
      <c r="C189" s="8" t="s">
        <v>260</v>
      </c>
      <c r="D189" s="7" t="n">
        <v>1</v>
      </c>
      <c r="E189" s="15" t="s">
        <v>259</v>
      </c>
      <c r="F189" s="15"/>
      <c r="G189" s="15"/>
    </row>
    <row r="190" customFormat="false" ht="15" hidden="false" customHeight="false" outlineLevel="0" collapsed="false">
      <c r="A190" s="7" t="s">
        <v>33</v>
      </c>
      <c r="B190" s="8" t="s">
        <v>986</v>
      </c>
      <c r="C190" s="8" t="s">
        <v>985</v>
      </c>
      <c r="D190" s="7" t="n">
        <v>1</v>
      </c>
      <c r="E190" s="15" t="s">
        <v>982</v>
      </c>
      <c r="F190" s="15"/>
      <c r="G190" s="15"/>
    </row>
    <row r="191" customFormat="false" ht="15" hidden="false" customHeight="false" outlineLevel="0" collapsed="false">
      <c r="A191" s="7" t="s">
        <v>33</v>
      </c>
      <c r="B191" s="8" t="s">
        <v>788</v>
      </c>
      <c r="C191" s="8" t="s">
        <v>787</v>
      </c>
      <c r="D191" s="7" t="n">
        <v>1</v>
      </c>
      <c r="E191" s="15" t="s">
        <v>786</v>
      </c>
      <c r="F191" s="15"/>
      <c r="G191" s="15"/>
    </row>
    <row r="192" customFormat="false" ht="15" hidden="false" customHeight="false" outlineLevel="0" collapsed="false">
      <c r="A192" s="7" t="s">
        <v>33</v>
      </c>
      <c r="B192" s="8" t="s">
        <v>998</v>
      </c>
      <c r="C192" s="8" t="s">
        <v>997</v>
      </c>
      <c r="D192" s="7" t="n">
        <v>1</v>
      </c>
      <c r="E192" s="15" t="s">
        <v>996</v>
      </c>
      <c r="F192" s="15"/>
      <c r="G192" s="15"/>
    </row>
    <row r="193" customFormat="false" ht="15" hidden="false" customHeight="false" outlineLevel="0" collapsed="false">
      <c r="A193" s="7" t="s">
        <v>33</v>
      </c>
      <c r="B193" s="8" t="s">
        <v>41</v>
      </c>
      <c r="C193" s="8" t="s">
        <v>40</v>
      </c>
      <c r="D193" s="7" t="n">
        <v>1</v>
      </c>
      <c r="E193" s="15" t="s">
        <v>37</v>
      </c>
      <c r="F193" s="15"/>
      <c r="G193" s="15"/>
    </row>
    <row r="194" customFormat="false" ht="15" hidden="false" customHeight="false" outlineLevel="0" collapsed="false">
      <c r="A194" s="7" t="s">
        <v>33</v>
      </c>
      <c r="B194" s="8" t="s">
        <v>450</v>
      </c>
      <c r="C194" s="8" t="s">
        <v>2731</v>
      </c>
      <c r="D194" s="7" t="n">
        <v>2</v>
      </c>
      <c r="E194" s="15" t="s">
        <v>2732</v>
      </c>
      <c r="F194" s="13" t="s">
        <v>87</v>
      </c>
      <c r="G194" s="14"/>
    </row>
    <row r="195" customFormat="false" ht="15" hidden="false" customHeight="false" outlineLevel="0" collapsed="false">
      <c r="A195" s="7" t="s">
        <v>33</v>
      </c>
      <c r="B195" s="8" t="s">
        <v>899</v>
      </c>
      <c r="C195" s="8" t="s">
        <v>898</v>
      </c>
      <c r="D195" s="7" t="n">
        <v>1</v>
      </c>
      <c r="E195" s="15" t="s">
        <v>897</v>
      </c>
      <c r="F195" s="14"/>
      <c r="G195" s="14" t="s">
        <v>900</v>
      </c>
    </row>
    <row r="196" customFormat="false" ht="15" hidden="false" customHeight="false" outlineLevel="0" collapsed="false">
      <c r="A196" s="7" t="s">
        <v>33</v>
      </c>
      <c r="B196" s="8" t="s">
        <v>246</v>
      </c>
      <c r="C196" s="8" t="s">
        <v>245</v>
      </c>
      <c r="D196" s="7" t="n">
        <v>2</v>
      </c>
      <c r="E196" s="15" t="s">
        <v>2733</v>
      </c>
      <c r="F196" s="13" t="s">
        <v>87</v>
      </c>
      <c r="G196" s="13" t="s">
        <v>247</v>
      </c>
    </row>
    <row r="197" customFormat="false" ht="15" hidden="false" customHeight="false" outlineLevel="0" collapsed="false">
      <c r="A197" s="7" t="s">
        <v>33</v>
      </c>
      <c r="B197" s="8" t="s">
        <v>875</v>
      </c>
      <c r="C197" s="8" t="s">
        <v>874</v>
      </c>
      <c r="D197" s="7" t="n">
        <v>1</v>
      </c>
      <c r="E197" s="15" t="s">
        <v>873</v>
      </c>
      <c r="F197" s="13" t="s">
        <v>74</v>
      </c>
      <c r="G197" s="14"/>
    </row>
    <row r="198" customFormat="false" ht="15" hidden="false" customHeight="false" outlineLevel="0" collapsed="false">
      <c r="A198" s="7" t="s">
        <v>33</v>
      </c>
      <c r="B198" s="8" t="s">
        <v>407</v>
      </c>
      <c r="C198" s="8" t="s">
        <v>406</v>
      </c>
      <c r="D198" s="7" t="n">
        <v>1</v>
      </c>
      <c r="E198" s="15" t="s">
        <v>405</v>
      </c>
      <c r="F198" s="15"/>
      <c r="G198" s="15"/>
    </row>
    <row r="199" customFormat="false" ht="15" hidden="false" customHeight="false" outlineLevel="0" collapsed="false">
      <c r="A199" s="7" t="s">
        <v>33</v>
      </c>
      <c r="B199" s="8" t="s">
        <v>779</v>
      </c>
      <c r="C199" s="8" t="s">
        <v>778</v>
      </c>
      <c r="D199" s="7" t="n">
        <v>1</v>
      </c>
      <c r="E199" s="15" t="s">
        <v>777</v>
      </c>
      <c r="F199" s="15"/>
      <c r="G199" s="15"/>
    </row>
    <row r="200" customFormat="false" ht="15" hidden="false" customHeight="false" outlineLevel="0" collapsed="false">
      <c r="A200" s="7" t="s">
        <v>33</v>
      </c>
      <c r="B200" s="8" t="s">
        <v>656</v>
      </c>
      <c r="C200" s="8" t="s">
        <v>655</v>
      </c>
      <c r="D200" s="7" t="n">
        <v>1</v>
      </c>
      <c r="E200" s="15" t="s">
        <v>654</v>
      </c>
      <c r="F200" s="15"/>
      <c r="G200" s="15"/>
    </row>
    <row r="201" customFormat="false" ht="15" hidden="false" customHeight="false" outlineLevel="0" collapsed="false">
      <c r="A201" s="7" t="s">
        <v>33</v>
      </c>
      <c r="B201" s="8" t="s">
        <v>353</v>
      </c>
      <c r="C201" s="8" t="s">
        <v>352</v>
      </c>
      <c r="D201" s="7" t="n">
        <v>1</v>
      </c>
      <c r="E201" s="15" t="s">
        <v>349</v>
      </c>
      <c r="F201" s="15"/>
      <c r="G201" s="15"/>
    </row>
    <row r="202" customFormat="false" ht="15" hidden="false" customHeight="false" outlineLevel="0" collapsed="false">
      <c r="A202" s="7" t="s">
        <v>33</v>
      </c>
      <c r="B202" s="8" t="s">
        <v>393</v>
      </c>
      <c r="C202" s="8" t="s">
        <v>392</v>
      </c>
      <c r="D202" s="7" t="n">
        <v>1</v>
      </c>
      <c r="E202" s="15" t="s">
        <v>391</v>
      </c>
      <c r="F202" s="15"/>
      <c r="G202" s="15"/>
    </row>
    <row r="203" customFormat="false" ht="15" hidden="false" customHeight="false" outlineLevel="0" collapsed="false">
      <c r="A203" s="7" t="s">
        <v>33</v>
      </c>
      <c r="B203" s="8" t="s">
        <v>869</v>
      </c>
      <c r="C203" s="8" t="s">
        <v>868</v>
      </c>
      <c r="D203" s="7" t="n">
        <v>1</v>
      </c>
      <c r="E203" s="15" t="s">
        <v>867</v>
      </c>
      <c r="F203" s="15"/>
      <c r="G203" s="15"/>
    </row>
    <row r="204" customFormat="false" ht="15" hidden="false" customHeight="false" outlineLevel="0" collapsed="false">
      <c r="A204" s="7" t="s">
        <v>33</v>
      </c>
      <c r="B204" s="8" t="s">
        <v>339</v>
      </c>
      <c r="C204" s="8" t="s">
        <v>338</v>
      </c>
      <c r="D204" s="7" t="n">
        <v>1</v>
      </c>
      <c r="E204" s="15" t="s">
        <v>337</v>
      </c>
      <c r="F204" s="15"/>
      <c r="G204" s="15"/>
    </row>
    <row r="205" customFormat="false" ht="15" hidden="false" customHeight="false" outlineLevel="0" collapsed="false">
      <c r="A205" s="7" t="s">
        <v>33</v>
      </c>
      <c r="B205" s="8" t="s">
        <v>514</v>
      </c>
      <c r="C205" s="8" t="s">
        <v>513</v>
      </c>
      <c r="D205" s="7" t="n">
        <v>1</v>
      </c>
      <c r="E205" s="15" t="s">
        <v>510</v>
      </c>
      <c r="F205" s="15"/>
      <c r="G205" s="15"/>
    </row>
    <row r="206" customFormat="false" ht="15" hidden="false" customHeight="false" outlineLevel="0" collapsed="false">
      <c r="A206" s="7" t="s">
        <v>33</v>
      </c>
      <c r="B206" s="8" t="s">
        <v>184</v>
      </c>
      <c r="C206" s="8" t="s">
        <v>183</v>
      </c>
      <c r="D206" s="7" t="n">
        <v>1</v>
      </c>
      <c r="E206" s="15" t="s">
        <v>182</v>
      </c>
      <c r="F206" s="15"/>
      <c r="G206" s="15"/>
    </row>
    <row r="207" customFormat="false" ht="15" hidden="false" customHeight="false" outlineLevel="0" collapsed="false">
      <c r="A207" s="7" t="s">
        <v>33</v>
      </c>
      <c r="B207" s="8" t="s">
        <v>237</v>
      </c>
      <c r="C207" s="8" t="s">
        <v>236</v>
      </c>
      <c r="D207" s="7" t="n">
        <v>1</v>
      </c>
      <c r="E207" s="15" t="s">
        <v>235</v>
      </c>
      <c r="F207" s="13" t="s">
        <v>74</v>
      </c>
      <c r="G207" s="14"/>
    </row>
    <row r="208" customFormat="false" ht="15" hidden="false" customHeight="false" outlineLevel="0" collapsed="false">
      <c r="A208" s="7" t="s">
        <v>33</v>
      </c>
      <c r="B208" s="8" t="s">
        <v>435</v>
      </c>
      <c r="C208" s="8" t="s">
        <v>434</v>
      </c>
      <c r="D208" s="7" t="n">
        <v>2</v>
      </c>
      <c r="E208" s="15" t="s">
        <v>2734</v>
      </c>
      <c r="F208" s="13" t="s">
        <v>87</v>
      </c>
      <c r="G208" s="14"/>
    </row>
    <row r="209" customFormat="false" ht="15" hidden="false" customHeight="false" outlineLevel="0" collapsed="false">
      <c r="A209" s="7" t="s">
        <v>33</v>
      </c>
      <c r="B209" s="8" t="s">
        <v>584</v>
      </c>
      <c r="C209" s="8" t="s">
        <v>583</v>
      </c>
      <c r="D209" s="7" t="n">
        <v>1</v>
      </c>
      <c r="E209" s="15" t="s">
        <v>582</v>
      </c>
      <c r="F209" s="15"/>
      <c r="G209" s="15"/>
    </row>
    <row r="210" customFormat="false" ht="15" hidden="false" customHeight="false" outlineLevel="0" collapsed="false">
      <c r="A210" s="7" t="s">
        <v>33</v>
      </c>
      <c r="B210" s="8" t="s">
        <v>293</v>
      </c>
      <c r="C210" s="8" t="s">
        <v>292</v>
      </c>
      <c r="D210" s="7" t="n">
        <v>1</v>
      </c>
      <c r="E210" s="15" t="s">
        <v>291</v>
      </c>
      <c r="F210" s="15"/>
      <c r="G210" s="15"/>
    </row>
    <row r="211" customFormat="false" ht="15" hidden="false" customHeight="false" outlineLevel="0" collapsed="false">
      <c r="A211" s="7" t="s">
        <v>33</v>
      </c>
      <c r="B211" s="8" t="s">
        <v>173</v>
      </c>
      <c r="C211" s="8" t="s">
        <v>172</v>
      </c>
      <c r="D211" s="7" t="n">
        <v>1</v>
      </c>
      <c r="E211" s="15" t="s">
        <v>171</v>
      </c>
      <c r="F211" s="15"/>
      <c r="G211" s="15"/>
    </row>
    <row r="212" customFormat="false" ht="15" hidden="false" customHeight="false" outlineLevel="0" collapsed="false">
      <c r="A212" s="7" t="s">
        <v>33</v>
      </c>
      <c r="B212" s="8" t="s">
        <v>885</v>
      </c>
      <c r="C212" s="8" t="s">
        <v>884</v>
      </c>
      <c r="D212" s="7" t="n">
        <v>1</v>
      </c>
      <c r="E212" s="15" t="s">
        <v>883</v>
      </c>
      <c r="F212" s="13" t="s">
        <v>74</v>
      </c>
      <c r="G212" s="14"/>
    </row>
    <row r="213" customFormat="false" ht="15" hidden="false" customHeight="false" outlineLevel="0" collapsed="false">
      <c r="A213" s="7" t="s">
        <v>33</v>
      </c>
      <c r="B213" s="8" t="s">
        <v>387</v>
      </c>
      <c r="C213" s="8" t="s">
        <v>386</v>
      </c>
      <c r="D213" s="7" t="n">
        <v>1</v>
      </c>
      <c r="E213" s="15" t="s">
        <v>383</v>
      </c>
      <c r="F213" s="15"/>
      <c r="G213" s="15"/>
    </row>
    <row r="214" customFormat="false" ht="15" hidden="false" customHeight="false" outlineLevel="0" collapsed="false">
      <c r="A214" s="7" t="s">
        <v>33</v>
      </c>
      <c r="B214" s="8" t="s">
        <v>371</v>
      </c>
      <c r="C214" s="8" t="s">
        <v>370</v>
      </c>
      <c r="D214" s="7" t="n">
        <v>1</v>
      </c>
      <c r="E214" s="15" t="s">
        <v>369</v>
      </c>
      <c r="F214" s="15"/>
      <c r="G214" s="15"/>
    </row>
    <row r="215" customFormat="false" ht="15" hidden="false" customHeight="false" outlineLevel="0" collapsed="false">
      <c r="A215" s="7" t="s">
        <v>33</v>
      </c>
      <c r="B215" s="8" t="s">
        <v>330</v>
      </c>
      <c r="C215" s="8" t="s">
        <v>329</v>
      </c>
      <c r="D215" s="7" t="n">
        <v>1</v>
      </c>
      <c r="E215" s="15" t="s">
        <v>328</v>
      </c>
      <c r="F215" s="15"/>
      <c r="G215" s="15"/>
    </row>
    <row r="216" customFormat="false" ht="15" hidden="false" customHeight="false" outlineLevel="0" collapsed="false">
      <c r="A216" s="7" t="s">
        <v>33</v>
      </c>
      <c r="B216" s="8" t="s">
        <v>152</v>
      </c>
      <c r="C216" s="8" t="s">
        <v>151</v>
      </c>
      <c r="D216" s="7" t="n">
        <v>1</v>
      </c>
      <c r="E216" s="15" t="s">
        <v>150</v>
      </c>
      <c r="F216" s="15"/>
      <c r="G216" s="15"/>
    </row>
    <row r="217" customFormat="false" ht="15" hidden="false" customHeight="false" outlineLevel="0" collapsed="false">
      <c r="A217" s="7" t="s">
        <v>33</v>
      </c>
      <c r="B217" s="8" t="s">
        <v>984</v>
      </c>
      <c r="C217" s="8" t="s">
        <v>983</v>
      </c>
      <c r="D217" s="7" t="n">
        <v>1</v>
      </c>
      <c r="E217" s="15" t="s">
        <v>982</v>
      </c>
      <c r="F217" s="15"/>
      <c r="G217" s="15"/>
    </row>
    <row r="218" customFormat="false" ht="15" hidden="false" customHeight="false" outlineLevel="0" collapsed="false">
      <c r="A218" s="7" t="s">
        <v>33</v>
      </c>
      <c r="B218" s="8" t="s">
        <v>120</v>
      </c>
      <c r="C218" s="8" t="s">
        <v>118</v>
      </c>
      <c r="D218" s="7" t="n">
        <v>1</v>
      </c>
      <c r="E218" s="15" t="s">
        <v>117</v>
      </c>
      <c r="F218" s="13" t="s">
        <v>74</v>
      </c>
      <c r="G218" s="14"/>
    </row>
    <row r="219" customFormat="false" ht="15" hidden="false" customHeight="false" outlineLevel="0" collapsed="false">
      <c r="A219" s="7" t="s">
        <v>33</v>
      </c>
      <c r="B219" s="8" t="s">
        <v>264</v>
      </c>
      <c r="C219" s="8" t="s">
        <v>263</v>
      </c>
      <c r="D219" s="7" t="n">
        <v>1</v>
      </c>
      <c r="E219" s="15" t="s">
        <v>262</v>
      </c>
      <c r="F219" s="15"/>
      <c r="G219" s="15"/>
    </row>
    <row r="220" customFormat="false" ht="15" hidden="false" customHeight="false" outlineLevel="0" collapsed="false">
      <c r="A220" s="7" t="s">
        <v>33</v>
      </c>
      <c r="B220" s="8" t="s">
        <v>685</v>
      </c>
      <c r="C220" s="8" t="s">
        <v>684</v>
      </c>
      <c r="D220" s="7" t="n">
        <v>1</v>
      </c>
      <c r="E220" s="15" t="s">
        <v>683</v>
      </c>
      <c r="F220" s="15"/>
      <c r="G220" s="15"/>
    </row>
    <row r="221" customFormat="false" ht="15" hidden="false" customHeight="false" outlineLevel="0" collapsed="false">
      <c r="A221" s="7" t="s">
        <v>33</v>
      </c>
      <c r="B221" s="8" t="s">
        <v>950</v>
      </c>
      <c r="C221" s="8" t="s">
        <v>948</v>
      </c>
      <c r="D221" s="7" t="n">
        <v>1</v>
      </c>
      <c r="E221" s="15" t="s">
        <v>947</v>
      </c>
      <c r="F221" s="15"/>
      <c r="G221" s="15"/>
    </row>
    <row r="222" customFormat="false" ht="15" hidden="false" customHeight="false" outlineLevel="0" collapsed="false">
      <c r="A222" s="7" t="s">
        <v>33</v>
      </c>
      <c r="B222" s="8" t="s">
        <v>981</v>
      </c>
      <c r="C222" s="8" t="s">
        <v>980</v>
      </c>
      <c r="D222" s="7" t="n">
        <v>1</v>
      </c>
      <c r="E222" s="15" t="s">
        <v>979</v>
      </c>
      <c r="F222" s="15"/>
      <c r="G222" s="15"/>
    </row>
    <row r="223" customFormat="false" ht="15" hidden="false" customHeight="false" outlineLevel="0" collapsed="false">
      <c r="A223" s="7" t="s">
        <v>33</v>
      </c>
      <c r="B223" s="8" t="s">
        <v>818</v>
      </c>
      <c r="C223" s="8" t="s">
        <v>817</v>
      </c>
      <c r="D223" s="7" t="n">
        <v>1</v>
      </c>
      <c r="E223" s="15" t="s">
        <v>816</v>
      </c>
      <c r="F223" s="15"/>
      <c r="G223" s="15"/>
    </row>
    <row r="224" customFormat="false" ht="15" hidden="false" customHeight="false" outlineLevel="0" collapsed="false">
      <c r="A224" s="7" t="s">
        <v>33</v>
      </c>
      <c r="B224" s="8" t="s">
        <v>390</v>
      </c>
      <c r="C224" s="8" t="s">
        <v>389</v>
      </c>
      <c r="D224" s="7" t="n">
        <v>1</v>
      </c>
      <c r="E224" s="15" t="s">
        <v>388</v>
      </c>
      <c r="F224" s="15"/>
      <c r="G224" s="15"/>
    </row>
    <row r="225" customFormat="false" ht="15" hidden="false" customHeight="false" outlineLevel="0" collapsed="false">
      <c r="A225" s="7" t="s">
        <v>33</v>
      </c>
      <c r="B225" s="8" t="s">
        <v>170</v>
      </c>
      <c r="C225" s="8" t="s">
        <v>169</v>
      </c>
      <c r="D225" s="7" t="n">
        <v>1</v>
      </c>
      <c r="E225" s="15" t="s">
        <v>166</v>
      </c>
      <c r="F225" s="15"/>
      <c r="G225" s="15"/>
    </row>
    <row r="226" customFormat="false" ht="15" hidden="false" customHeight="false" outlineLevel="0" collapsed="false">
      <c r="A226" s="7" t="s">
        <v>33</v>
      </c>
      <c r="B226" s="8" t="s">
        <v>659</v>
      </c>
      <c r="C226" s="8" t="s">
        <v>658</v>
      </c>
      <c r="D226" s="7" t="n">
        <v>1</v>
      </c>
      <c r="E226" s="15" t="s">
        <v>657</v>
      </c>
      <c r="F226" s="15"/>
      <c r="G226" s="15"/>
    </row>
    <row r="227" customFormat="false" ht="15" hidden="false" customHeight="false" outlineLevel="0" collapsed="false">
      <c r="A227" s="7" t="s">
        <v>33</v>
      </c>
      <c r="B227" s="8" t="s">
        <v>815</v>
      </c>
      <c r="C227" s="8" t="s">
        <v>814</v>
      </c>
      <c r="D227" s="7" t="n">
        <v>1</v>
      </c>
      <c r="E227" s="15" t="s">
        <v>813</v>
      </c>
      <c r="F227" s="13" t="s">
        <v>56</v>
      </c>
      <c r="G227" s="14"/>
    </row>
    <row r="228" customFormat="false" ht="15" hidden="false" customHeight="false" outlineLevel="0" collapsed="false">
      <c r="A228" s="7" t="s">
        <v>33</v>
      </c>
      <c r="B228" s="8" t="s">
        <v>1001</v>
      </c>
      <c r="C228" s="8" t="s">
        <v>1000</v>
      </c>
      <c r="D228" s="7" t="n">
        <v>1</v>
      </c>
      <c r="E228" s="15" t="s">
        <v>999</v>
      </c>
      <c r="F228" s="15"/>
      <c r="G228" s="15"/>
    </row>
    <row r="229" customFormat="false" ht="15" hidden="false" customHeight="false" outlineLevel="0" collapsed="false">
      <c r="A229" s="7" t="s">
        <v>33</v>
      </c>
      <c r="B229" s="8" t="s">
        <v>972</v>
      </c>
      <c r="C229" s="8" t="s">
        <v>971</v>
      </c>
      <c r="D229" s="7" t="n">
        <v>1</v>
      </c>
      <c r="E229" s="15" t="s">
        <v>970</v>
      </c>
      <c r="F229" s="15"/>
      <c r="G229" s="15"/>
    </row>
    <row r="230" customFormat="false" ht="15" hidden="false" customHeight="false" outlineLevel="0" collapsed="false">
      <c r="A230" s="7" t="s">
        <v>33</v>
      </c>
      <c r="B230" s="8" t="s">
        <v>745</v>
      </c>
      <c r="C230" s="8" t="s">
        <v>744</v>
      </c>
      <c r="D230" s="7" t="n">
        <v>1</v>
      </c>
      <c r="E230" s="15" t="s">
        <v>743</v>
      </c>
      <c r="F230" s="15"/>
      <c r="G230" s="15"/>
    </row>
    <row r="231" customFormat="false" ht="15" hidden="false" customHeight="false" outlineLevel="0" collapsed="false">
      <c r="A231" s="7" t="s">
        <v>33</v>
      </c>
      <c r="B231" s="8" t="s">
        <v>739</v>
      </c>
      <c r="C231" s="8" t="s">
        <v>738</v>
      </c>
      <c r="D231" s="7" t="n">
        <v>1</v>
      </c>
      <c r="E231" s="15" t="s">
        <v>737</v>
      </c>
      <c r="F231" s="15"/>
      <c r="G231" s="15"/>
    </row>
    <row r="232" customFormat="false" ht="15" hidden="false" customHeight="false" outlineLevel="0" collapsed="false">
      <c r="A232" s="7" t="s">
        <v>33</v>
      </c>
      <c r="B232" s="8" t="s">
        <v>940</v>
      </c>
      <c r="C232" s="8" t="s">
        <v>939</v>
      </c>
      <c r="D232" s="7" t="n">
        <v>1</v>
      </c>
      <c r="E232" s="15" t="s">
        <v>938</v>
      </c>
      <c r="F232" s="15"/>
      <c r="G232" s="15"/>
    </row>
    <row r="233" customFormat="false" ht="15" hidden="false" customHeight="false" outlineLevel="0" collapsed="false">
      <c r="A233" s="7" t="s">
        <v>33</v>
      </c>
      <c r="B233" s="8" t="s">
        <v>863</v>
      </c>
      <c r="C233" s="8" t="s">
        <v>862</v>
      </c>
      <c r="D233" s="7" t="n">
        <v>1</v>
      </c>
      <c r="E233" s="15" t="s">
        <v>861</v>
      </c>
      <c r="F233" s="15"/>
      <c r="G233" s="15"/>
    </row>
    <row r="234" customFormat="false" ht="15" hidden="false" customHeight="false" outlineLevel="0" collapsed="false">
      <c r="A234" s="7" t="s">
        <v>33</v>
      </c>
      <c r="B234" s="8" t="s">
        <v>931</v>
      </c>
      <c r="C234" s="8" t="s">
        <v>929</v>
      </c>
      <c r="D234" s="7" t="n">
        <v>1</v>
      </c>
      <c r="E234" s="15" t="s">
        <v>928</v>
      </c>
      <c r="F234" s="13" t="s">
        <v>74</v>
      </c>
      <c r="G234" s="14"/>
    </row>
    <row r="235" customFormat="false" ht="15" hidden="false" customHeight="false" outlineLevel="0" collapsed="false">
      <c r="A235" s="7" t="s">
        <v>33</v>
      </c>
      <c r="B235" s="8" t="s">
        <v>709</v>
      </c>
      <c r="C235" s="8" t="s">
        <v>708</v>
      </c>
      <c r="D235" s="7" t="n">
        <v>1</v>
      </c>
      <c r="E235" s="15" t="s">
        <v>707</v>
      </c>
      <c r="F235" s="15"/>
      <c r="G235" s="15"/>
    </row>
    <row r="236" customFormat="false" ht="15" hidden="false" customHeight="false" outlineLevel="0" collapsed="false">
      <c r="A236" s="7" t="s">
        <v>33</v>
      </c>
      <c r="B236" s="8" t="s">
        <v>459</v>
      </c>
      <c r="C236" s="8" t="s">
        <v>458</v>
      </c>
      <c r="D236" s="7" t="n">
        <v>1</v>
      </c>
      <c r="E236" s="15" t="s">
        <v>457</v>
      </c>
      <c r="F236" s="15"/>
      <c r="G236" s="15"/>
    </row>
    <row r="237" customFormat="false" ht="15" hidden="false" customHeight="false" outlineLevel="0" collapsed="false">
      <c r="A237" s="7" t="s">
        <v>33</v>
      </c>
      <c r="B237" s="8" t="s">
        <v>730</v>
      </c>
      <c r="C237" s="8" t="s">
        <v>728</v>
      </c>
      <c r="D237" s="7" t="n">
        <v>1</v>
      </c>
      <c r="E237" s="15" t="s">
        <v>727</v>
      </c>
      <c r="F237" s="15"/>
      <c r="G237" s="15"/>
    </row>
    <row r="238" customFormat="false" ht="15" hidden="false" customHeight="false" outlineLevel="0" collapsed="false">
      <c r="A238" s="7" t="s">
        <v>33</v>
      </c>
      <c r="B238" s="8" t="s">
        <v>616</v>
      </c>
      <c r="C238" s="8" t="s">
        <v>615</v>
      </c>
      <c r="D238" s="7" t="n">
        <v>1</v>
      </c>
      <c r="E238" s="15" t="s">
        <v>614</v>
      </c>
      <c r="F238" s="15"/>
      <c r="G238" s="15"/>
    </row>
    <row r="239" customFormat="false" ht="15" hidden="false" customHeight="false" outlineLevel="0" collapsed="false">
      <c r="A239" s="7" t="s">
        <v>33</v>
      </c>
      <c r="B239" s="8" t="s">
        <v>921</v>
      </c>
      <c r="C239" s="8" t="s">
        <v>920</v>
      </c>
      <c r="D239" s="7" t="n">
        <v>1</v>
      </c>
      <c r="E239" s="15" t="s">
        <v>919</v>
      </c>
      <c r="F239" s="15"/>
      <c r="G239" s="15"/>
    </row>
    <row r="240" customFormat="false" ht="15" hidden="false" customHeight="false" outlineLevel="0" collapsed="false">
      <c r="A240" s="7" t="s">
        <v>33</v>
      </c>
      <c r="B240" s="8" t="s">
        <v>676</v>
      </c>
      <c r="C240" s="8" t="s">
        <v>675</v>
      </c>
      <c r="D240" s="7" t="n">
        <v>2</v>
      </c>
      <c r="E240" s="15" t="s">
        <v>2735</v>
      </c>
      <c r="F240" s="13" t="s">
        <v>87</v>
      </c>
      <c r="G240" s="14"/>
    </row>
    <row r="241" customFormat="false" ht="15" hidden="false" customHeight="false" outlineLevel="0" collapsed="false">
      <c r="A241" s="7" t="s">
        <v>33</v>
      </c>
      <c r="B241" s="8" t="s">
        <v>701</v>
      </c>
      <c r="C241" s="8" t="s">
        <v>700</v>
      </c>
      <c r="D241" s="7" t="n">
        <v>1</v>
      </c>
      <c r="E241" s="15" t="s">
        <v>699</v>
      </c>
      <c r="F241" s="15"/>
      <c r="G241" s="15"/>
    </row>
    <row r="242" customFormat="false" ht="15" hidden="false" customHeight="false" outlineLevel="0" collapsed="false">
      <c r="A242" s="7" t="s">
        <v>33</v>
      </c>
      <c r="B242" s="8" t="s">
        <v>634</v>
      </c>
      <c r="C242" s="8" t="s">
        <v>633</v>
      </c>
      <c r="D242" s="7" t="n">
        <v>1</v>
      </c>
      <c r="E242" s="15" t="s">
        <v>632</v>
      </c>
      <c r="F242" s="15"/>
      <c r="G242" s="15"/>
    </row>
    <row r="243" customFormat="false" ht="15" hidden="false" customHeight="false" outlineLevel="0" collapsed="false">
      <c r="A243" s="7" t="s">
        <v>33</v>
      </c>
      <c r="B243" s="8" t="s">
        <v>227</v>
      </c>
      <c r="C243" s="8" t="s">
        <v>226</v>
      </c>
      <c r="D243" s="7" t="n">
        <v>1</v>
      </c>
      <c r="E243" s="15" t="s">
        <v>225</v>
      </c>
      <c r="F243" s="15"/>
      <c r="G243" s="15"/>
    </row>
    <row r="244" customFormat="false" ht="15" hidden="false" customHeight="false" outlineLevel="0" collapsed="false">
      <c r="A244" s="7" t="s">
        <v>33</v>
      </c>
      <c r="B244" s="8" t="s">
        <v>978</v>
      </c>
      <c r="C244" s="8" t="s">
        <v>977</v>
      </c>
      <c r="D244" s="7" t="n">
        <v>1</v>
      </c>
      <c r="E244" s="15" t="s">
        <v>976</v>
      </c>
      <c r="F244" s="15"/>
      <c r="G244" s="15"/>
    </row>
    <row r="245" customFormat="false" ht="15" hidden="false" customHeight="false" outlineLevel="0" collapsed="false">
      <c r="A245" s="7" t="s">
        <v>33</v>
      </c>
      <c r="B245" s="8" t="s">
        <v>640</v>
      </c>
      <c r="C245" s="8" t="s">
        <v>639</v>
      </c>
      <c r="D245" s="7" t="n">
        <v>1</v>
      </c>
      <c r="E245" s="15" t="s">
        <v>638</v>
      </c>
      <c r="F245" s="15"/>
      <c r="G245" s="15"/>
    </row>
    <row r="246" customFormat="false" ht="15" hidden="false" customHeight="false" outlineLevel="0" collapsed="false">
      <c r="A246" s="7" t="s">
        <v>33</v>
      </c>
      <c r="B246" s="8" t="s">
        <v>782</v>
      </c>
      <c r="C246" s="8" t="s">
        <v>781</v>
      </c>
      <c r="D246" s="7" t="n">
        <v>1</v>
      </c>
      <c r="E246" s="15" t="s">
        <v>780</v>
      </c>
      <c r="F246" s="15"/>
      <c r="G246" s="15"/>
    </row>
    <row r="247" customFormat="false" ht="15" hidden="false" customHeight="false" outlineLevel="0" collapsed="false">
      <c r="A247" s="7" t="s">
        <v>33</v>
      </c>
      <c r="B247" s="8" t="s">
        <v>65</v>
      </c>
      <c r="C247" s="8" t="s">
        <v>64</v>
      </c>
      <c r="D247" s="7" t="n">
        <v>1</v>
      </c>
      <c r="E247" s="15" t="s">
        <v>63</v>
      </c>
      <c r="F247" s="15"/>
      <c r="G247" s="15"/>
    </row>
    <row r="248" customFormat="false" ht="15" hidden="false" customHeight="false" outlineLevel="0" collapsed="false">
      <c r="A248" s="7" t="s">
        <v>33</v>
      </c>
      <c r="B248" s="8" t="s">
        <v>252</v>
      </c>
      <c r="C248" s="8" t="s">
        <v>251</v>
      </c>
      <c r="D248" s="7" t="n">
        <v>1</v>
      </c>
      <c r="E248" s="15" t="s">
        <v>250</v>
      </c>
      <c r="F248" s="15"/>
      <c r="G248" s="15"/>
    </row>
    <row r="249" customFormat="false" ht="15" hidden="false" customHeight="false" outlineLevel="0" collapsed="false">
      <c r="A249" s="7" t="s">
        <v>33</v>
      </c>
      <c r="B249" s="8" t="s">
        <v>696</v>
      </c>
      <c r="C249" s="8" t="s">
        <v>695</v>
      </c>
      <c r="D249" s="7" t="n">
        <v>1</v>
      </c>
      <c r="E249" s="15" t="s">
        <v>694</v>
      </c>
      <c r="F249" s="15"/>
      <c r="G249" s="15"/>
    </row>
    <row r="250" customFormat="false" ht="15" hidden="false" customHeight="false" outlineLevel="0" collapsed="false">
      <c r="A250" s="7" t="s">
        <v>33</v>
      </c>
      <c r="B250" s="8" t="s">
        <v>385</v>
      </c>
      <c r="C250" s="8" t="s">
        <v>384</v>
      </c>
      <c r="D250" s="7" t="n">
        <v>1</v>
      </c>
      <c r="E250" s="15" t="s">
        <v>383</v>
      </c>
      <c r="F250" s="15"/>
      <c r="G250" s="15"/>
    </row>
    <row r="251" customFormat="false" ht="15" hidden="false" customHeight="false" outlineLevel="0" collapsed="false">
      <c r="A251" s="7" t="s">
        <v>33</v>
      </c>
      <c r="B251" s="8" t="s">
        <v>857</v>
      </c>
      <c r="C251" s="8" t="s">
        <v>856</v>
      </c>
      <c r="D251" s="7" t="n">
        <v>1</v>
      </c>
      <c r="E251" s="15" t="s">
        <v>853</v>
      </c>
      <c r="F251" s="15"/>
      <c r="G251" s="15"/>
    </row>
    <row r="252" customFormat="false" ht="15" hidden="false" customHeight="false" outlineLevel="0" collapsed="false">
      <c r="A252" s="7" t="s">
        <v>33</v>
      </c>
      <c r="B252" s="8" t="s">
        <v>187</v>
      </c>
      <c r="C252" s="8" t="s">
        <v>186</v>
      </c>
      <c r="D252" s="7" t="n">
        <v>1</v>
      </c>
      <c r="E252" s="15" t="s">
        <v>185</v>
      </c>
      <c r="F252" s="15"/>
      <c r="G252" s="15"/>
    </row>
    <row r="253" customFormat="false" ht="15" hidden="false" customHeight="false" outlineLevel="0" collapsed="false">
      <c r="A253" s="7" t="s">
        <v>33</v>
      </c>
      <c r="B253" s="8" t="s">
        <v>723</v>
      </c>
      <c r="C253" s="8" t="s">
        <v>722</v>
      </c>
      <c r="D253" s="7" t="n">
        <v>1</v>
      </c>
      <c r="E253" s="15" t="s">
        <v>721</v>
      </c>
      <c r="F253" s="13" t="s">
        <v>74</v>
      </c>
      <c r="G253" s="14"/>
    </row>
    <row r="254" customFormat="false" ht="15" hidden="false" customHeight="false" outlineLevel="0" collapsed="false">
      <c r="A254" s="7" t="s">
        <v>33</v>
      </c>
      <c r="B254" s="8" t="s">
        <v>556</v>
      </c>
      <c r="C254" s="8" t="s">
        <v>555</v>
      </c>
      <c r="D254" s="7" t="n">
        <v>1</v>
      </c>
      <c r="E254" s="15" t="s">
        <v>554</v>
      </c>
      <c r="F254" s="15"/>
      <c r="G254" s="15"/>
    </row>
    <row r="255" customFormat="false" ht="15" hidden="false" customHeight="false" outlineLevel="0" collapsed="false">
      <c r="A255" s="7" t="s">
        <v>33</v>
      </c>
      <c r="B255" s="8" t="s">
        <v>549</v>
      </c>
      <c r="C255" s="8" t="s">
        <v>548</v>
      </c>
      <c r="D255" s="7" t="n">
        <v>1</v>
      </c>
      <c r="E255" s="15" t="s">
        <v>547</v>
      </c>
      <c r="F255" s="15"/>
      <c r="G255" s="15"/>
    </row>
    <row r="256" customFormat="false" ht="15" hidden="false" customHeight="false" outlineLevel="0" collapsed="false">
      <c r="A256" s="7" t="s">
        <v>33</v>
      </c>
      <c r="B256" s="8" t="s">
        <v>480</v>
      </c>
      <c r="C256" s="8" t="s">
        <v>479</v>
      </c>
      <c r="D256" s="7" t="n">
        <v>1</v>
      </c>
      <c r="E256" s="15" t="s">
        <v>478</v>
      </c>
      <c r="F256" s="15"/>
      <c r="G256" s="15"/>
    </row>
    <row r="257" customFormat="false" ht="15" hidden="false" customHeight="false" outlineLevel="0" collapsed="false">
      <c r="A257" s="7" t="s">
        <v>33</v>
      </c>
      <c r="B257" s="8" t="s">
        <v>421</v>
      </c>
      <c r="C257" s="8" t="s">
        <v>420</v>
      </c>
      <c r="D257" s="7" t="n">
        <v>1</v>
      </c>
      <c r="E257" s="15" t="s">
        <v>419</v>
      </c>
      <c r="F257" s="15"/>
      <c r="G257" s="15"/>
    </row>
    <row r="258" customFormat="false" ht="15" hidden="false" customHeight="false" outlineLevel="0" collapsed="false">
      <c r="A258" s="7" t="s">
        <v>33</v>
      </c>
      <c r="B258" s="8" t="s">
        <v>255</v>
      </c>
      <c r="C258" s="8" t="s">
        <v>254</v>
      </c>
      <c r="D258" s="7" t="n">
        <v>1</v>
      </c>
      <c r="E258" s="15" t="s">
        <v>253</v>
      </c>
      <c r="F258" s="15"/>
      <c r="G258" s="15"/>
    </row>
    <row r="259" customFormat="false" ht="15" hidden="false" customHeight="false" outlineLevel="0" collapsed="false">
      <c r="A259" s="7" t="s">
        <v>33</v>
      </c>
      <c r="B259" s="8" t="s">
        <v>946</v>
      </c>
      <c r="C259" s="8" t="s">
        <v>945</v>
      </c>
      <c r="D259" s="7" t="n">
        <v>1</v>
      </c>
      <c r="E259" s="15" t="s">
        <v>944</v>
      </c>
      <c r="F259" s="15"/>
      <c r="G259" s="15"/>
    </row>
    <row r="260" customFormat="false" ht="15" hidden="false" customHeight="false" outlineLevel="0" collapsed="false">
      <c r="A260" s="7" t="s">
        <v>33</v>
      </c>
      <c r="B260" s="8" t="s">
        <v>468</v>
      </c>
      <c r="C260" s="8" t="s">
        <v>467</v>
      </c>
      <c r="D260" s="7" t="n">
        <v>1</v>
      </c>
      <c r="E260" s="15" t="s">
        <v>466</v>
      </c>
      <c r="F260" s="15"/>
      <c r="G260" s="15"/>
    </row>
    <row r="261" customFormat="false" ht="15" hidden="false" customHeight="false" outlineLevel="0" collapsed="false">
      <c r="A261" s="7" t="s">
        <v>33</v>
      </c>
      <c r="B261" s="8" t="s">
        <v>750</v>
      </c>
      <c r="C261" s="8" t="s">
        <v>749</v>
      </c>
      <c r="D261" s="7" t="n">
        <v>1</v>
      </c>
      <c r="E261" s="15" t="s">
        <v>746</v>
      </c>
      <c r="F261" s="15"/>
      <c r="G261" s="15"/>
    </row>
    <row r="262" customFormat="false" ht="15" hidden="false" customHeight="false" outlineLevel="0" collapsed="false">
      <c r="A262" s="7" t="s">
        <v>33</v>
      </c>
      <c r="B262" s="8" t="s">
        <v>202</v>
      </c>
      <c r="C262" s="8" t="s">
        <v>201</v>
      </c>
      <c r="D262" s="7" t="n">
        <v>1</v>
      </c>
      <c r="E262" s="15" t="s">
        <v>200</v>
      </c>
      <c r="F262" s="15"/>
      <c r="G262" s="15"/>
    </row>
    <row r="263" customFormat="false" ht="15" hidden="false" customHeight="false" outlineLevel="0" collapsed="false">
      <c r="A263" s="7" t="s">
        <v>33</v>
      </c>
      <c r="B263" s="8" t="s">
        <v>848</v>
      </c>
      <c r="C263" s="8" t="s">
        <v>847</v>
      </c>
      <c r="D263" s="7" t="n">
        <v>1</v>
      </c>
      <c r="E263" s="15" t="s">
        <v>846</v>
      </c>
      <c r="F263" s="15"/>
      <c r="G263" s="15"/>
    </row>
    <row r="264" customFormat="false" ht="15" hidden="false" customHeight="false" outlineLevel="0" collapsed="false">
      <c r="A264" s="7" t="s">
        <v>33</v>
      </c>
      <c r="B264" s="8" t="s">
        <v>179</v>
      </c>
      <c r="C264" s="8" t="s">
        <v>178</v>
      </c>
      <c r="D264" s="7" t="n">
        <v>1</v>
      </c>
      <c r="E264" s="15" t="s">
        <v>177</v>
      </c>
      <c r="F264" s="15"/>
      <c r="G264" s="15"/>
    </row>
    <row r="265" customFormat="false" ht="15" hidden="false" customHeight="false" outlineLevel="0" collapsed="false">
      <c r="A265" s="7" t="s">
        <v>33</v>
      </c>
      <c r="B265" s="8" t="s">
        <v>327</v>
      </c>
      <c r="C265" s="8" t="s">
        <v>326</v>
      </c>
      <c r="D265" s="7" t="n">
        <v>1</v>
      </c>
      <c r="E265" s="15" t="s">
        <v>325</v>
      </c>
      <c r="F265" s="15"/>
      <c r="G265" s="15"/>
    </row>
    <row r="266" customFormat="false" ht="15" hidden="false" customHeight="false" outlineLevel="0" collapsed="false">
      <c r="A266" s="7" t="s">
        <v>33</v>
      </c>
      <c r="B266" s="8" t="s">
        <v>418</v>
      </c>
      <c r="C266" s="8" t="s">
        <v>417</v>
      </c>
      <c r="D266" s="7" t="n">
        <v>1</v>
      </c>
      <c r="E266" s="15" t="s">
        <v>416</v>
      </c>
      <c r="F266" s="15"/>
      <c r="G266" s="15"/>
    </row>
    <row r="267" customFormat="false" ht="15" hidden="false" customHeight="false" outlineLevel="0" collapsed="false">
      <c r="A267" s="7" t="s">
        <v>33</v>
      </c>
      <c r="B267" s="8" t="s">
        <v>768</v>
      </c>
      <c r="C267" s="8" t="s">
        <v>767</v>
      </c>
      <c r="D267" s="7" t="n">
        <v>1</v>
      </c>
      <c r="E267" s="15" t="s">
        <v>766</v>
      </c>
      <c r="F267" s="15"/>
      <c r="G267" s="15"/>
    </row>
    <row r="268" customFormat="false" ht="15" hidden="false" customHeight="false" outlineLevel="0" collapsed="false">
      <c r="A268" s="7" t="s">
        <v>33</v>
      </c>
      <c r="B268" s="8" t="s">
        <v>258</v>
      </c>
      <c r="C268" s="8" t="s">
        <v>257</v>
      </c>
      <c r="D268" s="7" t="n">
        <v>1</v>
      </c>
      <c r="E268" s="15" t="s">
        <v>256</v>
      </c>
      <c r="F268" s="15"/>
      <c r="G268" s="15"/>
    </row>
    <row r="269" customFormat="false" ht="15" hidden="false" customHeight="false" outlineLevel="0" collapsed="false">
      <c r="A269" s="7" t="s">
        <v>33</v>
      </c>
      <c r="B269" s="8" t="s">
        <v>924</v>
      </c>
      <c r="C269" s="8" t="s">
        <v>923</v>
      </c>
      <c r="D269" s="7" t="n">
        <v>1</v>
      </c>
      <c r="E269" s="15" t="s">
        <v>922</v>
      </c>
      <c r="F269" s="15"/>
      <c r="G269" s="15"/>
    </row>
    <row r="270" customFormat="false" ht="15" hidden="false" customHeight="false" outlineLevel="0" collapsed="false">
      <c r="A270" s="7" t="s">
        <v>33</v>
      </c>
      <c r="B270" s="8" t="s">
        <v>960</v>
      </c>
      <c r="C270" s="8" t="s">
        <v>959</v>
      </c>
      <c r="D270" s="7" t="n">
        <v>1</v>
      </c>
      <c r="E270" s="15" t="s">
        <v>958</v>
      </c>
      <c r="F270" s="15"/>
      <c r="G270" s="15"/>
    </row>
    <row r="271" customFormat="false" ht="15" hidden="false" customHeight="false" outlineLevel="0" collapsed="false">
      <c r="A271" s="7" t="s">
        <v>33</v>
      </c>
      <c r="B271" s="8" t="s">
        <v>855</v>
      </c>
      <c r="C271" s="8" t="s">
        <v>854</v>
      </c>
      <c r="D271" s="7" t="n">
        <v>1</v>
      </c>
      <c r="E271" s="15" t="s">
        <v>853</v>
      </c>
      <c r="F271" s="15"/>
      <c r="G271" s="15"/>
    </row>
    <row r="272" customFormat="false" ht="15" hidden="false" customHeight="false" outlineLevel="0" collapsed="false">
      <c r="A272" s="7" t="s">
        <v>33</v>
      </c>
      <c r="B272" s="8" t="s">
        <v>456</v>
      </c>
      <c r="C272" s="8" t="s">
        <v>455</v>
      </c>
      <c r="D272" s="7" t="n">
        <v>1</v>
      </c>
      <c r="E272" s="15" t="s">
        <v>454</v>
      </c>
      <c r="F272" s="15"/>
      <c r="G272" s="15"/>
    </row>
    <row r="273" customFormat="false" ht="15" hidden="false" customHeight="false" outlineLevel="0" collapsed="false">
      <c r="A273" s="7" t="s">
        <v>33</v>
      </c>
      <c r="B273" s="8" t="s">
        <v>706</v>
      </c>
      <c r="C273" s="8" t="s">
        <v>2736</v>
      </c>
      <c r="D273" s="7" t="n">
        <v>2</v>
      </c>
      <c r="E273" s="15" t="s">
        <v>2737</v>
      </c>
      <c r="F273" s="13" t="s">
        <v>87</v>
      </c>
      <c r="G273" s="14"/>
    </row>
    <row r="274" customFormat="false" ht="15" hidden="false" customHeight="false" outlineLevel="0" collapsed="false">
      <c r="A274" s="7" t="s">
        <v>33</v>
      </c>
      <c r="B274" s="8" t="s">
        <v>521</v>
      </c>
      <c r="C274" s="8" t="s">
        <v>520</v>
      </c>
      <c r="D274" s="7" t="n">
        <v>1</v>
      </c>
      <c r="E274" s="15" t="s">
        <v>519</v>
      </c>
      <c r="F274" s="15"/>
      <c r="G274" s="15"/>
    </row>
    <row r="275" customFormat="false" ht="15" hidden="false" customHeight="false" outlineLevel="0" collapsed="false">
      <c r="A275" s="7" t="s">
        <v>33</v>
      </c>
      <c r="B275" s="8" t="s">
        <v>149</v>
      </c>
      <c r="C275" s="8" t="s">
        <v>148</v>
      </c>
      <c r="D275" s="7" t="n">
        <v>1</v>
      </c>
      <c r="E275" s="15" t="s">
        <v>147</v>
      </c>
      <c r="F275" s="15"/>
      <c r="G275" s="15"/>
    </row>
    <row r="276" customFormat="false" ht="15" hidden="false" customHeight="false" outlineLevel="0" collapsed="false">
      <c r="A276" s="7" t="s">
        <v>33</v>
      </c>
      <c r="B276" s="8" t="s">
        <v>146</v>
      </c>
      <c r="C276" s="8" t="s">
        <v>145</v>
      </c>
      <c r="D276" s="7" t="n">
        <v>1</v>
      </c>
      <c r="E276" s="15" t="s">
        <v>144</v>
      </c>
      <c r="F276" s="15"/>
      <c r="G276" s="15"/>
    </row>
    <row r="277" customFormat="false" ht="15" hidden="false" customHeight="false" outlineLevel="0" collapsed="false">
      <c r="A277" s="7" t="s">
        <v>33</v>
      </c>
      <c r="B277" s="8" t="s">
        <v>59</v>
      </c>
      <c r="C277" s="8" t="s">
        <v>58</v>
      </c>
      <c r="D277" s="7" t="n">
        <v>1</v>
      </c>
      <c r="E277" s="15" t="s">
        <v>57</v>
      </c>
      <c r="F277" s="15"/>
      <c r="G277" s="15"/>
    </row>
    <row r="278" customFormat="false" ht="15" hidden="false" customHeight="false" outlineLevel="0" collapsed="false">
      <c r="A278" s="7" t="s">
        <v>33</v>
      </c>
      <c r="B278" s="8" t="s">
        <v>365</v>
      </c>
      <c r="C278" s="8" t="s">
        <v>364</v>
      </c>
      <c r="D278" s="7" t="n">
        <v>1</v>
      </c>
      <c r="E278" s="15" t="s">
        <v>363</v>
      </c>
      <c r="F278" s="15"/>
      <c r="G278" s="15"/>
    </row>
    <row r="279" customFormat="false" ht="15" hidden="false" customHeight="false" outlineLevel="0" collapsed="false">
      <c r="A279" s="7" t="s">
        <v>33</v>
      </c>
      <c r="B279" s="8" t="s">
        <v>267</v>
      </c>
      <c r="C279" s="8" t="s">
        <v>266</v>
      </c>
      <c r="D279" s="7" t="n">
        <v>1</v>
      </c>
      <c r="E279" s="15" t="s">
        <v>265</v>
      </c>
      <c r="F279" s="15"/>
      <c r="G279" s="15"/>
    </row>
    <row r="280" customFormat="false" ht="15" hidden="false" customHeight="false" outlineLevel="0" collapsed="false">
      <c r="A280" s="7" t="s">
        <v>33</v>
      </c>
      <c r="B280" s="8" t="s">
        <v>872</v>
      </c>
      <c r="C280" s="8" t="s">
        <v>871</v>
      </c>
      <c r="D280" s="7" t="n">
        <v>1</v>
      </c>
      <c r="E280" s="15" t="s">
        <v>870</v>
      </c>
      <c r="F280" s="15"/>
      <c r="G280" s="15"/>
    </row>
    <row r="281" customFormat="false" ht="15" hidden="false" customHeight="false" outlineLevel="0" collapsed="false">
      <c r="A281" s="7" t="s">
        <v>33</v>
      </c>
      <c r="B281" s="8" t="s">
        <v>83</v>
      </c>
      <c r="C281" s="8" t="s">
        <v>82</v>
      </c>
      <c r="D281" s="7" t="n">
        <v>1</v>
      </c>
      <c r="E281" s="15" t="s">
        <v>81</v>
      </c>
      <c r="F281" s="15"/>
      <c r="G281" s="15"/>
    </row>
    <row r="282" customFormat="false" ht="15" hidden="false" customHeight="false" outlineLevel="0" collapsed="false">
      <c r="A282" s="7" t="s">
        <v>33</v>
      </c>
      <c r="B282" s="8" t="s">
        <v>742</v>
      </c>
      <c r="C282" s="8" t="s">
        <v>741</v>
      </c>
      <c r="D282" s="7" t="n">
        <v>1</v>
      </c>
      <c r="E282" s="15" t="s">
        <v>740</v>
      </c>
      <c r="F282" s="15"/>
      <c r="G282" s="15"/>
    </row>
    <row r="283" customFormat="false" ht="15" hidden="false" customHeight="false" outlineLevel="0" collapsed="false">
      <c r="A283" s="7" t="s">
        <v>33</v>
      </c>
      <c r="B283" s="8" t="s">
        <v>52</v>
      </c>
      <c r="C283" s="8" t="s">
        <v>51</v>
      </c>
      <c r="D283" s="7" t="n">
        <v>1</v>
      </c>
      <c r="E283" s="15" t="s">
        <v>50</v>
      </c>
      <c r="F283" s="15"/>
      <c r="G283" s="15"/>
    </row>
    <row r="284" customFormat="false" ht="15" hidden="false" customHeight="false" outlineLevel="0" collapsed="false">
      <c r="A284" s="7" t="s">
        <v>33</v>
      </c>
      <c r="B284" s="8" t="s">
        <v>133</v>
      </c>
      <c r="C284" s="8" t="s">
        <v>132</v>
      </c>
      <c r="D284" s="7" t="n">
        <v>1</v>
      </c>
      <c r="E284" s="15" t="s">
        <v>131</v>
      </c>
      <c r="F284" s="15"/>
      <c r="G284" s="15"/>
    </row>
    <row r="285" customFormat="false" ht="15" hidden="false" customHeight="false" outlineLevel="0" collapsed="false">
      <c r="A285" s="7" t="s">
        <v>33</v>
      </c>
      <c r="B285" s="8" t="s">
        <v>890</v>
      </c>
      <c r="C285" s="8" t="s">
        <v>889</v>
      </c>
      <c r="D285" s="7" t="n">
        <v>1</v>
      </c>
      <c r="E285" s="15" t="s">
        <v>886</v>
      </c>
      <c r="F285" s="15"/>
      <c r="G285" s="15"/>
    </row>
    <row r="286" customFormat="false" ht="15" hidden="false" customHeight="false" outlineLevel="0" collapsed="false">
      <c r="A286" s="7" t="s">
        <v>33</v>
      </c>
      <c r="B286" s="8" t="s">
        <v>915</v>
      </c>
      <c r="C286" s="8" t="s">
        <v>914</v>
      </c>
      <c r="D286" s="7" t="n">
        <v>1</v>
      </c>
      <c r="E286" s="15" t="s">
        <v>913</v>
      </c>
      <c r="F286" s="15"/>
      <c r="G286" s="15"/>
    </row>
    <row r="287" customFormat="false" ht="15" hidden="false" customHeight="false" outlineLevel="0" collapsed="false">
      <c r="A287" s="7" t="s">
        <v>33</v>
      </c>
      <c r="B287" s="8" t="s">
        <v>176</v>
      </c>
      <c r="C287" s="8" t="s">
        <v>175</v>
      </c>
      <c r="D287" s="7" t="n">
        <v>1</v>
      </c>
      <c r="E287" s="15" t="s">
        <v>174</v>
      </c>
      <c r="F287" s="15"/>
      <c r="G287" s="15"/>
    </row>
    <row r="288" customFormat="false" ht="15" hidden="false" customHeight="false" outlineLevel="0" collapsed="false">
      <c r="A288" s="7" t="s">
        <v>33</v>
      </c>
      <c r="B288" s="8" t="s">
        <v>444</v>
      </c>
      <c r="C288" s="8" t="s">
        <v>443</v>
      </c>
      <c r="D288" s="7" t="n">
        <v>1</v>
      </c>
      <c r="E288" s="15" t="s">
        <v>442</v>
      </c>
      <c r="F288" s="15"/>
      <c r="G288" s="15"/>
    </row>
    <row r="289" customFormat="false" ht="15" hidden="false" customHeight="false" outlineLevel="0" collapsed="false">
      <c r="A289" s="7" t="s">
        <v>33</v>
      </c>
      <c r="B289" s="8" t="s">
        <v>404</v>
      </c>
      <c r="C289" s="8" t="s">
        <v>403</v>
      </c>
      <c r="D289" s="7" t="n">
        <v>1</v>
      </c>
      <c r="E289" s="15" t="s">
        <v>402</v>
      </c>
      <c r="F289" s="15"/>
      <c r="G289" s="15"/>
    </row>
    <row r="290" customFormat="false" ht="15" hidden="false" customHeight="false" outlineLevel="0" collapsed="false">
      <c r="A290" s="7" t="s">
        <v>33</v>
      </c>
      <c r="B290" s="8" t="s">
        <v>333</v>
      </c>
      <c r="C290" s="8" t="s">
        <v>332</v>
      </c>
      <c r="D290" s="7" t="n">
        <v>1</v>
      </c>
      <c r="E290" s="15" t="s">
        <v>331</v>
      </c>
      <c r="F290" s="15"/>
      <c r="G290" s="15"/>
    </row>
    <row r="291" customFormat="false" ht="15" hidden="false" customHeight="false" outlineLevel="0" collapsed="false">
      <c r="A291" s="7" t="s">
        <v>33</v>
      </c>
      <c r="B291" s="8" t="s">
        <v>415</v>
      </c>
      <c r="C291" s="8" t="s">
        <v>414</v>
      </c>
      <c r="D291" s="7" t="n">
        <v>1</v>
      </c>
      <c r="E291" s="15" t="s">
        <v>413</v>
      </c>
      <c r="F291" s="15"/>
      <c r="G291" s="15"/>
    </row>
    <row r="292" customFormat="false" ht="15" hidden="false" customHeight="false" outlineLevel="0" collapsed="false">
      <c r="A292" s="7" t="s">
        <v>33</v>
      </c>
      <c r="B292" s="8" t="s">
        <v>464</v>
      </c>
      <c r="C292" s="8" t="s">
        <v>463</v>
      </c>
      <c r="D292" s="7" t="n">
        <v>2</v>
      </c>
      <c r="E292" s="15" t="s">
        <v>2738</v>
      </c>
      <c r="F292" s="13" t="s">
        <v>87</v>
      </c>
      <c r="G292" s="14"/>
    </row>
    <row r="293" customFormat="false" ht="15" hidden="false" customHeight="false" outlineLevel="0" collapsed="false">
      <c r="A293" s="7" t="s">
        <v>33</v>
      </c>
      <c r="B293" s="8" t="s">
        <v>756</v>
      </c>
      <c r="C293" s="8" t="s">
        <v>755</v>
      </c>
      <c r="D293" s="7" t="n">
        <v>1</v>
      </c>
      <c r="E293" s="15" t="s">
        <v>754</v>
      </c>
      <c r="F293" s="15"/>
      <c r="G293" s="15"/>
    </row>
    <row r="294" customFormat="false" ht="15" hidden="false" customHeight="false" outlineLevel="0" collapsed="false">
      <c r="A294" s="7" t="s">
        <v>33</v>
      </c>
      <c r="B294" s="8" t="s">
        <v>433</v>
      </c>
      <c r="C294" s="8" t="s">
        <v>432</v>
      </c>
      <c r="D294" s="7" t="n">
        <v>1</v>
      </c>
      <c r="E294" s="15" t="s">
        <v>431</v>
      </c>
      <c r="F294" s="15"/>
      <c r="G294" s="15"/>
    </row>
    <row r="295" customFormat="false" ht="15" hidden="false" customHeight="false" outlineLevel="0" collapsed="false">
      <c r="A295" s="7" t="s">
        <v>33</v>
      </c>
      <c r="B295" s="8" t="s">
        <v>1005</v>
      </c>
      <c r="C295" s="8" t="s">
        <v>1004</v>
      </c>
      <c r="D295" s="7" t="n">
        <v>1</v>
      </c>
      <c r="E295" s="15" t="s">
        <v>1003</v>
      </c>
      <c r="F295" s="15"/>
      <c r="G295" s="15"/>
    </row>
    <row r="296" customFormat="false" ht="15" hidden="false" customHeight="false" outlineLevel="0" collapsed="false">
      <c r="A296" s="7" t="s">
        <v>33</v>
      </c>
      <c r="B296" s="8" t="s">
        <v>359</v>
      </c>
      <c r="C296" s="8" t="s">
        <v>358</v>
      </c>
      <c r="D296" s="7" t="n">
        <v>1</v>
      </c>
      <c r="E296" s="15" t="s">
        <v>357</v>
      </c>
      <c r="F296" s="15"/>
      <c r="G296" s="15"/>
    </row>
    <row r="297" customFormat="false" ht="15" hidden="false" customHeight="false" outlineLevel="0" collapsed="false">
      <c r="A297" s="7" t="s">
        <v>33</v>
      </c>
      <c r="B297" s="8" t="s">
        <v>736</v>
      </c>
      <c r="C297" s="8" t="s">
        <v>735</v>
      </c>
      <c r="D297" s="7" t="n">
        <v>1</v>
      </c>
      <c r="E297" s="15" t="s">
        <v>734</v>
      </c>
      <c r="F297" s="15"/>
      <c r="G297" s="15"/>
    </row>
    <row r="298" customFormat="false" ht="15" hidden="false" customHeight="false" outlineLevel="0" collapsed="false">
      <c r="A298" s="7" t="s">
        <v>33</v>
      </c>
      <c r="B298" s="8" t="s">
        <v>824</v>
      </c>
      <c r="C298" s="8" t="s">
        <v>823</v>
      </c>
      <c r="D298" s="7" t="n">
        <v>1</v>
      </c>
      <c r="E298" s="15" t="s">
        <v>822</v>
      </c>
      <c r="F298" s="13" t="s">
        <v>74</v>
      </c>
      <c r="G298" s="14"/>
    </row>
    <row r="299" customFormat="false" ht="15" hidden="false" customHeight="false" outlineLevel="0" collapsed="false">
      <c r="A299" s="7" t="s">
        <v>33</v>
      </c>
      <c r="B299" s="8" t="s">
        <v>733</v>
      </c>
      <c r="C299" s="8" t="s">
        <v>732</v>
      </c>
      <c r="D299" s="7" t="n">
        <v>1</v>
      </c>
      <c r="E299" s="15" t="s">
        <v>731</v>
      </c>
      <c r="F299" s="15"/>
      <c r="G299" s="15"/>
    </row>
    <row r="300" customFormat="false" ht="15" hidden="false" customHeight="false" outlineLevel="0" collapsed="false">
      <c r="A300" s="7" t="s">
        <v>33</v>
      </c>
      <c r="B300" s="8" t="s">
        <v>652</v>
      </c>
      <c r="C300" s="8" t="s">
        <v>651</v>
      </c>
      <c r="D300" s="7" t="n">
        <v>1</v>
      </c>
      <c r="E300" s="15" t="s">
        <v>647</v>
      </c>
      <c r="F300" s="14"/>
      <c r="G300" s="14" t="s">
        <v>653</v>
      </c>
    </row>
    <row r="301" customFormat="false" ht="15" hidden="false" customHeight="false" outlineLevel="0" collapsed="false">
      <c r="A301" s="7" t="s">
        <v>33</v>
      </c>
      <c r="B301" s="8" t="s">
        <v>453</v>
      </c>
      <c r="C301" s="8" t="s">
        <v>452</v>
      </c>
      <c r="D301" s="7" t="n">
        <v>1</v>
      </c>
      <c r="E301" s="15" t="s">
        <v>451</v>
      </c>
      <c r="F301" s="15"/>
      <c r="G301" s="15"/>
    </row>
    <row r="302" customFormat="false" ht="15" hidden="false" customHeight="false" outlineLevel="0" collapsed="false">
      <c r="A302" s="7" t="s">
        <v>33</v>
      </c>
      <c r="B302" s="8" t="s">
        <v>1023</v>
      </c>
      <c r="C302" s="8" t="s">
        <v>1022</v>
      </c>
      <c r="D302" s="7" t="n">
        <v>1</v>
      </c>
      <c r="E302" s="15" t="s">
        <v>1021</v>
      </c>
      <c r="F302" s="15"/>
      <c r="G302" s="15"/>
    </row>
    <row r="303" customFormat="false" ht="15" hidden="false" customHeight="false" outlineLevel="0" collapsed="false">
      <c r="A303" s="7" t="s">
        <v>33</v>
      </c>
      <c r="B303" s="8" t="s">
        <v>1017</v>
      </c>
      <c r="C303" s="8" t="s">
        <v>1016</v>
      </c>
      <c r="D303" s="7" t="n">
        <v>1</v>
      </c>
      <c r="E303" s="15" t="s">
        <v>1015</v>
      </c>
      <c r="F303" s="15"/>
      <c r="G303" s="15"/>
    </row>
    <row r="304" customFormat="false" ht="15" hidden="false" customHeight="false" outlineLevel="0" collapsed="false">
      <c r="A304" s="7" t="s">
        <v>33</v>
      </c>
      <c r="B304" s="8" t="s">
        <v>906</v>
      </c>
      <c r="C304" s="8" t="s">
        <v>905</v>
      </c>
      <c r="D304" s="7" t="n">
        <v>1</v>
      </c>
      <c r="E304" s="15" t="s">
        <v>904</v>
      </c>
      <c r="F304" s="15"/>
      <c r="G304" s="15"/>
    </row>
    <row r="305" customFormat="false" ht="15" hidden="false" customHeight="false" outlineLevel="0" collapsed="false">
      <c r="A305" s="7" t="s">
        <v>33</v>
      </c>
      <c r="B305" s="8" t="s">
        <v>113</v>
      </c>
      <c r="C305" s="8" t="s">
        <v>112</v>
      </c>
      <c r="D305" s="7" t="n">
        <v>1</v>
      </c>
      <c r="E305" s="15" t="s">
        <v>111</v>
      </c>
      <c r="F305" s="15"/>
      <c r="G305" s="15"/>
    </row>
    <row r="306" customFormat="false" ht="15" hidden="false" customHeight="false" outlineLevel="0" collapsed="false">
      <c r="A306" s="7" t="s">
        <v>33</v>
      </c>
      <c r="B306" s="8" t="s">
        <v>102</v>
      </c>
      <c r="C306" s="8" t="s">
        <v>101</v>
      </c>
      <c r="D306" s="7" t="n">
        <v>1</v>
      </c>
      <c r="E306" s="15" t="s">
        <v>100</v>
      </c>
      <c r="F306" s="15"/>
      <c r="G306" s="15"/>
    </row>
    <row r="307" customFormat="false" ht="15" hidden="false" customHeight="false" outlineLevel="0" collapsed="false">
      <c r="A307" s="7" t="s">
        <v>33</v>
      </c>
      <c r="B307" s="8" t="s">
        <v>568</v>
      </c>
      <c r="C307" s="8" t="s">
        <v>567</v>
      </c>
      <c r="D307" s="7" t="n">
        <v>1</v>
      </c>
      <c r="E307" s="15" t="s">
        <v>564</v>
      </c>
      <c r="F307" s="15"/>
      <c r="G307" s="15"/>
    </row>
    <row r="308" customFormat="false" ht="15" hidden="false" customHeight="false" outlineLevel="0" collapsed="false">
      <c r="A308" s="7" t="s">
        <v>33</v>
      </c>
      <c r="B308" s="8" t="s">
        <v>224</v>
      </c>
      <c r="C308" s="8" t="s">
        <v>223</v>
      </c>
      <c r="D308" s="7" t="n">
        <v>1</v>
      </c>
      <c r="E308" s="15" t="s">
        <v>222</v>
      </c>
      <c r="F308" s="15"/>
      <c r="G308" s="15"/>
    </row>
    <row r="309" customFormat="false" ht="15" hidden="false" customHeight="false" outlineLevel="0" collapsed="false">
      <c r="A309" s="7" t="s">
        <v>33</v>
      </c>
      <c r="B309" s="8" t="s">
        <v>308</v>
      </c>
      <c r="C309" s="8" t="s">
        <v>307</v>
      </c>
      <c r="D309" s="7" t="n">
        <v>1</v>
      </c>
      <c r="E309" s="15" t="s">
        <v>306</v>
      </c>
      <c r="F309" s="15"/>
      <c r="G309" s="15"/>
    </row>
    <row r="310" customFormat="false" ht="15" hidden="false" customHeight="false" outlineLevel="0" collapsed="false">
      <c r="A310" s="7" t="s">
        <v>33</v>
      </c>
      <c r="B310" s="8" t="s">
        <v>362</v>
      </c>
      <c r="C310" s="8" t="s">
        <v>361</v>
      </c>
      <c r="D310" s="7" t="n">
        <v>1</v>
      </c>
      <c r="E310" s="15" t="s">
        <v>360</v>
      </c>
      <c r="F310" s="15"/>
      <c r="G310" s="15"/>
    </row>
    <row r="311" customFormat="false" ht="15" hidden="false" customHeight="false" outlineLevel="0" collapsed="false">
      <c r="A311" s="7" t="s">
        <v>33</v>
      </c>
      <c r="B311" s="8" t="s">
        <v>937</v>
      </c>
      <c r="C311" s="8" t="s">
        <v>936</v>
      </c>
      <c r="D311" s="7" t="n">
        <v>1</v>
      </c>
      <c r="E311" s="15" t="s">
        <v>935</v>
      </c>
      <c r="F311" s="15"/>
      <c r="G311" s="15"/>
    </row>
    <row r="312" customFormat="false" ht="15" hidden="false" customHeight="false" outlineLevel="0" collapsed="false">
      <c r="A312" s="7" t="s">
        <v>33</v>
      </c>
      <c r="B312" s="8" t="s">
        <v>249</v>
      </c>
      <c r="C312" s="8" t="s">
        <v>248</v>
      </c>
      <c r="D312" s="7" t="n">
        <v>1</v>
      </c>
      <c r="E312" s="15" t="s">
        <v>244</v>
      </c>
      <c r="F312" s="15"/>
      <c r="G312" s="15"/>
    </row>
    <row r="313" customFormat="false" ht="15" hidden="false" customHeight="false" outlineLevel="0" collapsed="false">
      <c r="A313" s="7" t="s">
        <v>33</v>
      </c>
      <c r="B313" s="8" t="s">
        <v>302</v>
      </c>
      <c r="C313" s="8" t="s">
        <v>301</v>
      </c>
      <c r="D313" s="7" t="n">
        <v>1</v>
      </c>
      <c r="E313" s="15" t="s">
        <v>300</v>
      </c>
      <c r="F313" s="15"/>
      <c r="G313" s="15"/>
    </row>
    <row r="314" customFormat="false" ht="15" hidden="false" customHeight="false" outlineLevel="0" collapsed="false">
      <c r="A314" s="7" t="s">
        <v>33</v>
      </c>
      <c r="B314" s="8" t="s">
        <v>595</v>
      </c>
      <c r="C314" s="8" t="s">
        <v>594</v>
      </c>
      <c r="D314" s="7" t="n">
        <v>1</v>
      </c>
      <c r="E314" s="15" t="s">
        <v>593</v>
      </c>
      <c r="F314" s="15"/>
      <c r="G314" s="15"/>
    </row>
    <row r="315" customFormat="false" ht="15" hidden="false" customHeight="false" outlineLevel="0" collapsed="false">
      <c r="A315" s="7" t="s">
        <v>33</v>
      </c>
      <c r="B315" s="8" t="s">
        <v>578</v>
      </c>
      <c r="C315" s="8" t="s">
        <v>577</v>
      </c>
      <c r="D315" s="7" t="n">
        <v>1</v>
      </c>
      <c r="E315" s="15" t="s">
        <v>576</v>
      </c>
      <c r="F315" s="15"/>
      <c r="G315" s="15"/>
    </row>
    <row r="316" customFormat="false" ht="15" hidden="false" customHeight="false" outlineLevel="0" collapsed="false">
      <c r="A316" s="7" t="s">
        <v>33</v>
      </c>
      <c r="B316" s="8" t="s">
        <v>220</v>
      </c>
      <c r="C316" s="8" t="s">
        <v>219</v>
      </c>
      <c r="D316" s="7" t="n">
        <v>2</v>
      </c>
      <c r="E316" s="15" t="s">
        <v>2739</v>
      </c>
      <c r="F316" s="13" t="s">
        <v>87</v>
      </c>
      <c r="G316" s="14" t="s">
        <v>221</v>
      </c>
    </row>
    <row r="317" customFormat="false" ht="15" hidden="false" customHeight="false" outlineLevel="0" collapsed="false">
      <c r="A317" s="7" t="s">
        <v>33</v>
      </c>
      <c r="B317" s="8" t="s">
        <v>532</v>
      </c>
      <c r="C317" s="8" t="s">
        <v>531</v>
      </c>
      <c r="D317" s="7" t="n">
        <v>1</v>
      </c>
      <c r="E317" s="15" t="s">
        <v>530</v>
      </c>
      <c r="F317" s="15"/>
      <c r="G317" s="15"/>
    </row>
    <row r="318" customFormat="false" ht="15" hidden="false" customHeight="false" outlineLevel="0" collapsed="false">
      <c r="A318" s="7" t="s">
        <v>33</v>
      </c>
      <c r="B318" s="8" t="s">
        <v>136</v>
      </c>
      <c r="C318" s="8" t="s">
        <v>135</v>
      </c>
      <c r="D318" s="7" t="n">
        <v>1</v>
      </c>
      <c r="E318" s="15" t="s">
        <v>134</v>
      </c>
      <c r="F318" s="15"/>
      <c r="G318" s="15"/>
    </row>
    <row r="319" customFormat="false" ht="15" hidden="false" customHeight="false" outlineLevel="0" collapsed="false">
      <c r="A319" s="7" t="s">
        <v>33</v>
      </c>
      <c r="B319" s="8" t="s">
        <v>512</v>
      </c>
      <c r="C319" s="8" t="s">
        <v>511</v>
      </c>
      <c r="D319" s="7" t="n">
        <v>1</v>
      </c>
      <c r="E319" s="15" t="s">
        <v>510</v>
      </c>
      <c r="F319" s="15"/>
      <c r="G319" s="15"/>
    </row>
    <row r="320" customFormat="false" ht="15" hidden="false" customHeight="false" outlineLevel="0" collapsed="false">
      <c r="A320" s="7" t="s">
        <v>1025</v>
      </c>
      <c r="B320" s="8" t="s">
        <v>1351</v>
      </c>
      <c r="C320" s="8" t="s">
        <v>1349</v>
      </c>
      <c r="D320" s="7" t="n">
        <v>1</v>
      </c>
      <c r="E320" s="15" t="s">
        <v>1348</v>
      </c>
      <c r="F320" s="13" t="s">
        <v>1044</v>
      </c>
      <c r="G320" s="14"/>
    </row>
    <row r="321" customFormat="false" ht="15" hidden="false" customHeight="false" outlineLevel="0" collapsed="false">
      <c r="A321" s="7" t="s">
        <v>1025</v>
      </c>
      <c r="B321" s="8" t="s">
        <v>1939</v>
      </c>
      <c r="C321" s="8" t="s">
        <v>1938</v>
      </c>
      <c r="D321" s="7" t="n">
        <v>2</v>
      </c>
      <c r="E321" s="15" t="s">
        <v>2740</v>
      </c>
      <c r="F321" s="13" t="s">
        <v>87</v>
      </c>
      <c r="G321" s="14"/>
    </row>
    <row r="322" customFormat="false" ht="15" hidden="false" customHeight="false" outlineLevel="0" collapsed="false">
      <c r="A322" s="7" t="s">
        <v>1025</v>
      </c>
      <c r="B322" s="8" t="s">
        <v>1093</v>
      </c>
      <c r="C322" s="8" t="s">
        <v>1092</v>
      </c>
      <c r="D322" s="7" t="n">
        <v>1</v>
      </c>
      <c r="E322" s="15" t="s">
        <v>1091</v>
      </c>
      <c r="F322" s="15"/>
      <c r="G322" s="15"/>
    </row>
    <row r="323" customFormat="false" ht="15" hidden="false" customHeight="false" outlineLevel="0" collapsed="false">
      <c r="A323" s="7" t="s">
        <v>1025</v>
      </c>
      <c r="B323" s="8" t="s">
        <v>1070</v>
      </c>
      <c r="C323" s="8" t="s">
        <v>2741</v>
      </c>
      <c r="D323" s="7" t="n">
        <v>2</v>
      </c>
      <c r="E323" s="15" t="s">
        <v>2742</v>
      </c>
      <c r="F323" s="13" t="s">
        <v>87</v>
      </c>
      <c r="G323" s="14"/>
    </row>
    <row r="324" customFormat="false" ht="15" hidden="false" customHeight="false" outlineLevel="0" collapsed="false">
      <c r="A324" s="7" t="s">
        <v>1025</v>
      </c>
      <c r="B324" s="8" t="s">
        <v>1147</v>
      </c>
      <c r="C324" s="8" t="s">
        <v>1145</v>
      </c>
      <c r="D324" s="7" t="n">
        <v>1</v>
      </c>
      <c r="E324" s="15" t="s">
        <v>1144</v>
      </c>
      <c r="F324" s="15"/>
      <c r="G324" s="15"/>
    </row>
    <row r="325" customFormat="false" ht="15" hidden="false" customHeight="false" outlineLevel="0" collapsed="false">
      <c r="A325" s="7" t="s">
        <v>1025</v>
      </c>
      <c r="B325" s="8" t="s">
        <v>1028</v>
      </c>
      <c r="C325" s="8" t="s">
        <v>1027</v>
      </c>
      <c r="D325" s="7" t="n">
        <v>1</v>
      </c>
      <c r="E325" s="15" t="s">
        <v>1026</v>
      </c>
      <c r="F325" s="15"/>
      <c r="G325" s="15"/>
    </row>
    <row r="326" customFormat="false" ht="15" hidden="false" customHeight="false" outlineLevel="0" collapsed="false">
      <c r="A326" s="7" t="s">
        <v>1025</v>
      </c>
      <c r="B326" s="8" t="s">
        <v>1289</v>
      </c>
      <c r="C326" s="8" t="s">
        <v>1288</v>
      </c>
      <c r="D326" s="7" t="n">
        <v>1</v>
      </c>
      <c r="E326" s="15" t="s">
        <v>1287</v>
      </c>
      <c r="F326" s="13" t="s">
        <v>74</v>
      </c>
      <c r="G326" s="14"/>
    </row>
    <row r="327" customFormat="false" ht="15" hidden="false" customHeight="false" outlineLevel="0" collapsed="false">
      <c r="A327" s="7" t="s">
        <v>1025</v>
      </c>
      <c r="B327" s="8" t="s">
        <v>1665</v>
      </c>
      <c r="C327" s="8" t="s">
        <v>1663</v>
      </c>
      <c r="D327" s="7" t="n">
        <v>1</v>
      </c>
      <c r="E327" s="15" t="s">
        <v>1662</v>
      </c>
      <c r="F327" s="15"/>
      <c r="G327" s="15"/>
    </row>
    <row r="328" customFormat="false" ht="15" hidden="false" customHeight="false" outlineLevel="0" collapsed="false">
      <c r="A328" s="7" t="s">
        <v>1025</v>
      </c>
      <c r="B328" s="8" t="s">
        <v>1090</v>
      </c>
      <c r="C328" s="8" t="s">
        <v>1089</v>
      </c>
      <c r="D328" s="7" t="n">
        <v>1</v>
      </c>
      <c r="E328" s="15" t="s">
        <v>1088</v>
      </c>
      <c r="F328" s="15"/>
      <c r="G328" s="15"/>
    </row>
    <row r="329" customFormat="false" ht="15" hidden="false" customHeight="false" outlineLevel="0" collapsed="false">
      <c r="A329" s="7" t="s">
        <v>1025</v>
      </c>
      <c r="B329" s="8" t="s">
        <v>1238</v>
      </c>
      <c r="C329" s="8" t="s">
        <v>1237</v>
      </c>
      <c r="D329" s="7" t="n">
        <v>1</v>
      </c>
      <c r="E329" s="15" t="s">
        <v>1236</v>
      </c>
      <c r="F329" s="15"/>
      <c r="G329" s="15"/>
    </row>
    <row r="330" customFormat="false" ht="15" hidden="false" customHeight="false" outlineLevel="0" collapsed="false">
      <c r="A330" s="7" t="s">
        <v>1025</v>
      </c>
      <c r="B330" s="8" t="s">
        <v>1476</v>
      </c>
      <c r="C330" s="8" t="s">
        <v>1475</v>
      </c>
      <c r="D330" s="7" t="n">
        <v>1</v>
      </c>
      <c r="E330" s="15" t="s">
        <v>1474</v>
      </c>
      <c r="F330" s="15"/>
      <c r="G330" s="15"/>
    </row>
    <row r="331" customFormat="false" ht="15" hidden="false" customHeight="false" outlineLevel="0" collapsed="false">
      <c r="A331" s="7" t="s">
        <v>1025</v>
      </c>
      <c r="B331" s="8" t="s">
        <v>1580</v>
      </c>
      <c r="C331" s="8" t="s">
        <v>1579</v>
      </c>
      <c r="D331" s="7" t="n">
        <v>1</v>
      </c>
      <c r="E331" s="15" t="s">
        <v>1578</v>
      </c>
      <c r="F331" s="15"/>
      <c r="G331" s="15"/>
    </row>
    <row r="332" customFormat="false" ht="15" hidden="false" customHeight="false" outlineLevel="0" collapsed="false">
      <c r="A332" s="7" t="s">
        <v>1025</v>
      </c>
      <c r="B332" s="8" t="s">
        <v>1878</v>
      </c>
      <c r="C332" s="8" t="s">
        <v>1877</v>
      </c>
      <c r="D332" s="7" t="n">
        <v>2</v>
      </c>
      <c r="E332" s="15" t="s">
        <v>2743</v>
      </c>
      <c r="F332" s="13" t="s">
        <v>87</v>
      </c>
      <c r="G332" s="14"/>
    </row>
    <row r="333" customFormat="false" ht="15" hidden="false" customHeight="false" outlineLevel="0" collapsed="false">
      <c r="A333" s="7" t="s">
        <v>1025</v>
      </c>
      <c r="B333" s="8" t="s">
        <v>1680</v>
      </c>
      <c r="C333" s="8" t="s">
        <v>1678</v>
      </c>
      <c r="D333" s="7" t="n">
        <v>1</v>
      </c>
      <c r="E333" s="15" t="s">
        <v>1677</v>
      </c>
      <c r="F333" s="15"/>
      <c r="G333" s="15"/>
    </row>
    <row r="334" customFormat="false" ht="15" hidden="false" customHeight="false" outlineLevel="0" collapsed="false">
      <c r="A334" s="7" t="s">
        <v>1025</v>
      </c>
      <c r="B334" s="8" t="s">
        <v>1577</v>
      </c>
      <c r="C334" s="8" t="s">
        <v>1576</v>
      </c>
      <c r="D334" s="7" t="n">
        <v>1</v>
      </c>
      <c r="E334" s="15" t="s">
        <v>1575</v>
      </c>
      <c r="F334" s="15"/>
      <c r="G334" s="15"/>
    </row>
    <row r="335" customFormat="false" ht="15" hidden="false" customHeight="false" outlineLevel="0" collapsed="false">
      <c r="A335" s="7" t="s">
        <v>1025</v>
      </c>
      <c r="B335" s="8" t="s">
        <v>1505</v>
      </c>
      <c r="C335" s="8" t="s">
        <v>1504</v>
      </c>
      <c r="D335" s="7" t="n">
        <v>2</v>
      </c>
      <c r="E335" s="15" t="s">
        <v>2744</v>
      </c>
      <c r="F335" s="14" t="s">
        <v>1506</v>
      </c>
      <c r="G335" s="14" t="s">
        <v>1507</v>
      </c>
    </row>
    <row r="336" customFormat="false" ht="15" hidden="false" customHeight="false" outlineLevel="0" collapsed="false">
      <c r="A336" s="7" t="s">
        <v>1025</v>
      </c>
      <c r="B336" s="8" t="s">
        <v>1610</v>
      </c>
      <c r="C336" s="8" t="s">
        <v>1608</v>
      </c>
      <c r="D336" s="7" t="n">
        <v>1</v>
      </c>
      <c r="E336" s="15" t="s">
        <v>1607</v>
      </c>
      <c r="F336" s="13" t="s">
        <v>74</v>
      </c>
      <c r="G336" s="14"/>
    </row>
    <row r="337" customFormat="false" ht="15" hidden="false" customHeight="false" outlineLevel="0" collapsed="false">
      <c r="A337" s="7" t="s">
        <v>1025</v>
      </c>
      <c r="B337" s="8" t="s">
        <v>1560</v>
      </c>
      <c r="C337" s="8" t="s">
        <v>1558</v>
      </c>
      <c r="D337" s="7" t="n">
        <v>1</v>
      </c>
      <c r="E337" s="15" t="s">
        <v>1557</v>
      </c>
      <c r="F337" s="15"/>
      <c r="G337" s="15"/>
    </row>
    <row r="338" customFormat="false" ht="15" hidden="false" customHeight="false" outlineLevel="0" collapsed="false">
      <c r="A338" s="7" t="s">
        <v>1025</v>
      </c>
      <c r="B338" s="8" t="s">
        <v>1738</v>
      </c>
      <c r="C338" s="8" t="s">
        <v>1737</v>
      </c>
      <c r="D338" s="7" t="n">
        <v>2</v>
      </c>
      <c r="E338" s="15" t="s">
        <v>2745</v>
      </c>
      <c r="F338" s="13" t="s">
        <v>87</v>
      </c>
      <c r="G338" s="14"/>
    </row>
    <row r="339" customFormat="false" ht="15" hidden="false" customHeight="false" outlineLevel="0" collapsed="false">
      <c r="A339" s="7" t="s">
        <v>1025</v>
      </c>
      <c r="B339" s="8" t="s">
        <v>1220</v>
      </c>
      <c r="C339" s="8" t="s">
        <v>1219</v>
      </c>
      <c r="D339" s="7" t="n">
        <v>1</v>
      </c>
      <c r="E339" s="15" t="s">
        <v>1218</v>
      </c>
      <c r="F339" s="15"/>
      <c r="G339" s="15"/>
    </row>
    <row r="340" customFormat="false" ht="15" hidden="false" customHeight="false" outlineLevel="0" collapsed="false">
      <c r="A340" s="7" t="s">
        <v>1025</v>
      </c>
      <c r="B340" s="8" t="s">
        <v>1073</v>
      </c>
      <c r="C340" s="8" t="s">
        <v>1072</v>
      </c>
      <c r="D340" s="7" t="n">
        <v>2</v>
      </c>
      <c r="E340" s="15" t="s">
        <v>2746</v>
      </c>
      <c r="F340" s="13" t="s">
        <v>87</v>
      </c>
      <c r="G340" s="14"/>
    </row>
    <row r="341" customFormat="false" ht="15" hidden="false" customHeight="false" outlineLevel="0" collapsed="false">
      <c r="A341" s="7" t="s">
        <v>1025</v>
      </c>
      <c r="B341" s="8" t="s">
        <v>1226</v>
      </c>
      <c r="C341" s="8" t="s">
        <v>1225</v>
      </c>
      <c r="D341" s="7" t="n">
        <v>1</v>
      </c>
      <c r="E341" s="15" t="s">
        <v>1224</v>
      </c>
      <c r="F341" s="15"/>
      <c r="G341" s="15"/>
    </row>
    <row r="342" customFormat="false" ht="15" hidden="false" customHeight="false" outlineLevel="0" collapsed="false">
      <c r="A342" s="7" t="s">
        <v>1025</v>
      </c>
      <c r="B342" s="8" t="s">
        <v>1733</v>
      </c>
      <c r="C342" s="8" t="s">
        <v>1732</v>
      </c>
      <c r="D342" s="7" t="n">
        <v>3</v>
      </c>
      <c r="E342" s="15" t="s">
        <v>2747</v>
      </c>
      <c r="F342" s="13" t="s">
        <v>87</v>
      </c>
      <c r="G342" s="14"/>
    </row>
    <row r="343" customFormat="false" ht="15" hidden="false" customHeight="false" outlineLevel="0" collapsed="false">
      <c r="A343" s="7" t="s">
        <v>1025</v>
      </c>
      <c r="B343" s="8" t="s">
        <v>1842</v>
      </c>
      <c r="C343" s="8" t="s">
        <v>1841</v>
      </c>
      <c r="D343" s="7" t="n">
        <v>1</v>
      </c>
      <c r="E343" s="15" t="s">
        <v>1840</v>
      </c>
      <c r="F343" s="15"/>
      <c r="G343" s="15"/>
    </row>
    <row r="344" customFormat="false" ht="15" hidden="false" customHeight="false" outlineLevel="0" collapsed="false">
      <c r="A344" s="7" t="s">
        <v>1025</v>
      </c>
      <c r="B344" s="8" t="s">
        <v>1904</v>
      </c>
      <c r="C344" s="8" t="s">
        <v>1902</v>
      </c>
      <c r="D344" s="7" t="n">
        <v>1</v>
      </c>
      <c r="E344" s="15" t="s">
        <v>1901</v>
      </c>
      <c r="F344" s="13" t="s">
        <v>74</v>
      </c>
      <c r="G344" s="14"/>
    </row>
    <row r="345" customFormat="false" ht="15" hidden="false" customHeight="false" outlineLevel="0" collapsed="false">
      <c r="A345" s="7" t="s">
        <v>1025</v>
      </c>
      <c r="B345" s="8" t="s">
        <v>1295</v>
      </c>
      <c r="C345" s="8" t="s">
        <v>1294</v>
      </c>
      <c r="D345" s="7" t="n">
        <v>1</v>
      </c>
      <c r="E345" s="15" t="s">
        <v>1293</v>
      </c>
      <c r="F345" s="15"/>
      <c r="G345" s="15"/>
    </row>
    <row r="346" customFormat="false" ht="15" hidden="false" customHeight="false" outlineLevel="0" collapsed="false">
      <c r="A346" s="7" t="s">
        <v>1025</v>
      </c>
      <c r="B346" s="8" t="s">
        <v>1540</v>
      </c>
      <c r="C346" s="8" t="s">
        <v>1539</v>
      </c>
      <c r="D346" s="7" t="n">
        <v>1</v>
      </c>
      <c r="E346" s="15" t="s">
        <v>1536</v>
      </c>
      <c r="F346" s="15"/>
      <c r="G346" s="15"/>
    </row>
    <row r="347" customFormat="false" ht="15" hidden="false" customHeight="false" outlineLevel="0" collapsed="false">
      <c r="A347" s="7" t="s">
        <v>1025</v>
      </c>
      <c r="B347" s="8" t="s">
        <v>1538</v>
      </c>
      <c r="C347" s="8" t="s">
        <v>1537</v>
      </c>
      <c r="D347" s="7" t="n">
        <v>1</v>
      </c>
      <c r="E347" s="15" t="s">
        <v>1536</v>
      </c>
      <c r="F347" s="15"/>
      <c r="G347" s="15"/>
    </row>
    <row r="348" customFormat="false" ht="15" hidden="false" customHeight="false" outlineLevel="0" collapsed="false">
      <c r="A348" s="7" t="s">
        <v>1025</v>
      </c>
      <c r="B348" s="8" t="s">
        <v>1592</v>
      </c>
      <c r="C348" s="8" t="s">
        <v>1591</v>
      </c>
      <c r="D348" s="7" t="n">
        <v>2</v>
      </c>
      <c r="E348" s="15" t="s">
        <v>2748</v>
      </c>
      <c r="F348" s="13" t="s">
        <v>87</v>
      </c>
      <c r="G348" s="14"/>
    </row>
    <row r="349" customFormat="false" ht="15" hidden="false" customHeight="false" outlineLevel="0" collapsed="false">
      <c r="A349" s="7" t="s">
        <v>1025</v>
      </c>
      <c r="B349" s="8" t="s">
        <v>1702</v>
      </c>
      <c r="C349" s="8" t="s">
        <v>1701</v>
      </c>
      <c r="D349" s="7" t="n">
        <v>1</v>
      </c>
      <c r="E349" s="15" t="s">
        <v>1700</v>
      </c>
      <c r="F349" s="15"/>
      <c r="G349" s="15"/>
    </row>
    <row r="350" customFormat="false" ht="15" hidden="false" customHeight="false" outlineLevel="0" collapsed="false">
      <c r="A350" s="7" t="s">
        <v>1025</v>
      </c>
      <c r="B350" s="8" t="s">
        <v>1661</v>
      </c>
      <c r="C350" s="8" t="s">
        <v>1660</v>
      </c>
      <c r="D350" s="7" t="n">
        <v>3</v>
      </c>
      <c r="E350" s="15" t="s">
        <v>2749</v>
      </c>
      <c r="F350" s="13" t="s">
        <v>87</v>
      </c>
      <c r="G350" s="14"/>
    </row>
    <row r="351" customFormat="false" ht="15" hidden="false" customHeight="false" outlineLevel="0" collapsed="false">
      <c r="A351" s="7" t="s">
        <v>1025</v>
      </c>
      <c r="B351" s="8" t="s">
        <v>1415</v>
      </c>
      <c r="C351" s="8" t="s">
        <v>1414</v>
      </c>
      <c r="D351" s="7" t="n">
        <v>1</v>
      </c>
      <c r="E351" s="15" t="s">
        <v>1413</v>
      </c>
      <c r="F351" s="15"/>
      <c r="G351" s="15"/>
    </row>
    <row r="352" customFormat="false" ht="15" hidden="false" customHeight="false" outlineLevel="0" collapsed="false">
      <c r="A352" s="7" t="s">
        <v>1025</v>
      </c>
      <c r="B352" s="8" t="s">
        <v>1063</v>
      </c>
      <c r="C352" s="8" t="s">
        <v>1062</v>
      </c>
      <c r="D352" s="7" t="n">
        <v>2</v>
      </c>
      <c r="E352" s="15" t="s">
        <v>2750</v>
      </c>
      <c r="F352" s="13" t="s">
        <v>87</v>
      </c>
      <c r="G352" s="14"/>
    </row>
    <row r="353" customFormat="false" ht="15" hidden="false" customHeight="false" outlineLevel="0" collapsed="false">
      <c r="A353" s="7" t="s">
        <v>1025</v>
      </c>
      <c r="B353" s="8" t="s">
        <v>1889</v>
      </c>
      <c r="C353" s="8" t="s">
        <v>1888</v>
      </c>
      <c r="D353" s="7" t="n">
        <v>1</v>
      </c>
      <c r="E353" s="15" t="s">
        <v>1887</v>
      </c>
      <c r="F353" s="15"/>
      <c r="G353" s="15"/>
    </row>
    <row r="354" customFormat="false" ht="15" hidden="false" customHeight="false" outlineLevel="0" collapsed="false">
      <c r="A354" s="7" t="s">
        <v>1025</v>
      </c>
      <c r="B354" s="8" t="s">
        <v>1617</v>
      </c>
      <c r="C354" s="8" t="s">
        <v>1616</v>
      </c>
      <c r="D354" s="7" t="n">
        <v>1</v>
      </c>
      <c r="E354" s="15" t="s">
        <v>1615</v>
      </c>
      <c r="F354" s="15"/>
      <c r="G354" s="15"/>
    </row>
    <row r="355" customFormat="false" ht="15" hidden="false" customHeight="false" outlineLevel="0" collapsed="false">
      <c r="A355" s="7" t="s">
        <v>1025</v>
      </c>
      <c r="B355" s="8" t="s">
        <v>1133</v>
      </c>
      <c r="C355" s="8" t="s">
        <v>2751</v>
      </c>
      <c r="D355" s="7" t="n">
        <v>3</v>
      </c>
      <c r="E355" s="15" t="s">
        <v>2752</v>
      </c>
      <c r="F355" s="13" t="s">
        <v>87</v>
      </c>
      <c r="G355" s="14"/>
    </row>
    <row r="356" customFormat="false" ht="15" hidden="false" customHeight="false" outlineLevel="0" collapsed="false">
      <c r="A356" s="7" t="s">
        <v>1025</v>
      </c>
      <c r="B356" s="8" t="s">
        <v>1791</v>
      </c>
      <c r="C356" s="8" t="s">
        <v>1790</v>
      </c>
      <c r="D356" s="7" t="n">
        <v>1</v>
      </c>
      <c r="E356" s="15" t="s">
        <v>1789</v>
      </c>
      <c r="F356" s="15"/>
      <c r="G356" s="15"/>
    </row>
    <row r="357" customFormat="false" ht="29.85" hidden="false" customHeight="false" outlineLevel="0" collapsed="false">
      <c r="A357" s="7" t="s">
        <v>1025</v>
      </c>
      <c r="B357" s="8" t="s">
        <v>1203</v>
      </c>
      <c r="C357" s="8" t="s">
        <v>1202</v>
      </c>
      <c r="D357" s="7" t="n">
        <v>1</v>
      </c>
      <c r="E357" s="15" t="s">
        <v>1201</v>
      </c>
      <c r="F357" s="13" t="s">
        <v>1204</v>
      </c>
      <c r="G357" s="14" t="s">
        <v>1205</v>
      </c>
    </row>
    <row r="358" customFormat="false" ht="15" hidden="false" customHeight="false" outlineLevel="0" collapsed="false">
      <c r="A358" s="7" t="s">
        <v>1025</v>
      </c>
      <c r="B358" s="8" t="s">
        <v>1683</v>
      </c>
      <c r="C358" s="8" t="s">
        <v>1682</v>
      </c>
      <c r="D358" s="7" t="n">
        <v>1</v>
      </c>
      <c r="E358" s="15" t="s">
        <v>1681</v>
      </c>
      <c r="F358" s="15"/>
      <c r="G358" s="15"/>
    </row>
    <row r="359" customFormat="false" ht="15" hidden="false" customHeight="false" outlineLevel="0" collapsed="false">
      <c r="A359" s="7" t="s">
        <v>1025</v>
      </c>
      <c r="B359" s="8" t="s">
        <v>1496</v>
      </c>
      <c r="C359" s="8" t="s">
        <v>1495</v>
      </c>
      <c r="D359" s="7" t="n">
        <v>3</v>
      </c>
      <c r="E359" s="15" t="s">
        <v>2753</v>
      </c>
      <c r="F359" s="13" t="s">
        <v>87</v>
      </c>
      <c r="G359" s="14"/>
    </row>
    <row r="360" customFormat="false" ht="15" hidden="false" customHeight="false" outlineLevel="0" collapsed="false">
      <c r="A360" s="7" t="s">
        <v>1025</v>
      </c>
      <c r="B360" s="8" t="s">
        <v>1510</v>
      </c>
      <c r="C360" s="8" t="s">
        <v>1509</v>
      </c>
      <c r="D360" s="7" t="n">
        <v>1</v>
      </c>
      <c r="E360" s="15" t="s">
        <v>1508</v>
      </c>
      <c r="F360" s="15"/>
      <c r="G360" s="15"/>
    </row>
    <row r="361" customFormat="false" ht="15" hidden="false" customHeight="false" outlineLevel="0" collapsed="false">
      <c r="A361" s="7" t="s">
        <v>1025</v>
      </c>
      <c r="B361" s="8" t="s">
        <v>1529</v>
      </c>
      <c r="C361" s="8" t="s">
        <v>1528</v>
      </c>
      <c r="D361" s="7" t="n">
        <v>1</v>
      </c>
      <c r="E361" s="15" t="s">
        <v>1527</v>
      </c>
      <c r="F361" s="15"/>
      <c r="G361" s="15"/>
    </row>
    <row r="362" customFormat="false" ht="15" hidden="false" customHeight="false" outlineLevel="0" collapsed="false">
      <c r="A362" s="7" t="s">
        <v>1025</v>
      </c>
      <c r="B362" s="8" t="s">
        <v>1157</v>
      </c>
      <c r="C362" s="8" t="s">
        <v>1156</v>
      </c>
      <c r="D362" s="7" t="n">
        <v>1</v>
      </c>
      <c r="E362" s="15" t="s">
        <v>1155</v>
      </c>
      <c r="F362" s="15"/>
      <c r="G362" s="15"/>
    </row>
    <row r="363" customFormat="false" ht="15" hidden="false" customHeight="false" outlineLevel="0" collapsed="false">
      <c r="A363" s="7" t="s">
        <v>1025</v>
      </c>
      <c r="B363" s="8" t="s">
        <v>1286</v>
      </c>
      <c r="C363" s="8" t="s">
        <v>1285</v>
      </c>
      <c r="D363" s="7" t="n">
        <v>1</v>
      </c>
      <c r="E363" s="15" t="s">
        <v>1284</v>
      </c>
      <c r="F363" s="15"/>
      <c r="G363" s="15"/>
    </row>
    <row r="364" customFormat="false" ht="15" hidden="false" customHeight="false" outlineLevel="0" collapsed="false">
      <c r="A364" s="7" t="s">
        <v>1025</v>
      </c>
      <c r="B364" s="8" t="s">
        <v>1177</v>
      </c>
      <c r="C364" s="8" t="s">
        <v>1176</v>
      </c>
      <c r="D364" s="7" t="n">
        <v>1</v>
      </c>
      <c r="E364" s="15" t="s">
        <v>1175</v>
      </c>
      <c r="F364" s="15"/>
      <c r="G364" s="15"/>
    </row>
    <row r="365" customFormat="false" ht="15" hidden="false" customHeight="false" outlineLevel="0" collapsed="false">
      <c r="A365" s="7" t="s">
        <v>1025</v>
      </c>
      <c r="B365" s="8" t="s">
        <v>1801</v>
      </c>
      <c r="C365" s="8" t="s">
        <v>1799</v>
      </c>
      <c r="D365" s="7" t="n">
        <v>1</v>
      </c>
      <c r="E365" s="15" t="s">
        <v>1798</v>
      </c>
      <c r="F365" s="15"/>
      <c r="G365" s="15"/>
    </row>
    <row r="366" customFormat="false" ht="15" hidden="false" customHeight="false" outlineLevel="0" collapsed="false">
      <c r="A366" s="7" t="s">
        <v>1025</v>
      </c>
      <c r="B366" s="8" t="s">
        <v>1171</v>
      </c>
      <c r="C366" s="8" t="s">
        <v>1170</v>
      </c>
      <c r="D366" s="7" t="n">
        <v>1</v>
      </c>
      <c r="E366" s="15" t="s">
        <v>1169</v>
      </c>
      <c r="F366" s="15"/>
      <c r="G366" s="15"/>
    </row>
    <row r="367" customFormat="false" ht="15" hidden="false" customHeight="false" outlineLevel="0" collapsed="false">
      <c r="A367" s="7" t="s">
        <v>1025</v>
      </c>
      <c r="B367" s="8" t="s">
        <v>1807</v>
      </c>
      <c r="C367" s="8" t="s">
        <v>1806</v>
      </c>
      <c r="D367" s="7" t="n">
        <v>1</v>
      </c>
      <c r="E367" s="15" t="s">
        <v>1805</v>
      </c>
      <c r="F367" s="15"/>
      <c r="G367" s="15"/>
    </row>
    <row r="368" customFormat="false" ht="15" hidden="false" customHeight="false" outlineLevel="0" collapsed="false">
      <c r="A368" s="7" t="s">
        <v>1025</v>
      </c>
      <c r="B368" s="8" t="s">
        <v>1628</v>
      </c>
      <c r="C368" s="8" t="s">
        <v>1626</v>
      </c>
      <c r="D368" s="7" t="n">
        <v>1</v>
      </c>
      <c r="E368" s="15" t="s">
        <v>1625</v>
      </c>
      <c r="F368" s="15"/>
      <c r="G368" s="15"/>
    </row>
    <row r="369" customFormat="false" ht="15" hidden="false" customHeight="false" outlineLevel="0" collapsed="false">
      <c r="A369" s="7" t="s">
        <v>1025</v>
      </c>
      <c r="B369" s="8" t="s">
        <v>1855</v>
      </c>
      <c r="C369" s="8" t="s">
        <v>1854</v>
      </c>
      <c r="D369" s="7" t="n">
        <v>1</v>
      </c>
      <c r="E369" s="15" t="s">
        <v>1853</v>
      </c>
      <c r="F369" s="15"/>
      <c r="G369" s="15"/>
    </row>
    <row r="370" customFormat="false" ht="29.85" hidden="false" customHeight="false" outlineLevel="0" collapsed="false">
      <c r="A370" s="7" t="s">
        <v>1025</v>
      </c>
      <c r="B370" s="8" t="s">
        <v>1280</v>
      </c>
      <c r="C370" s="8" t="s">
        <v>1278</v>
      </c>
      <c r="D370" s="7" t="n">
        <v>1</v>
      </c>
      <c r="E370" s="15" t="s">
        <v>1277</v>
      </c>
      <c r="F370" s="14" t="s">
        <v>500</v>
      </c>
      <c r="G370" s="14" t="s">
        <v>1281</v>
      </c>
    </row>
    <row r="371" customFormat="false" ht="15" hidden="false" customHeight="false" outlineLevel="0" collapsed="false">
      <c r="A371" s="7" t="s">
        <v>1025</v>
      </c>
      <c r="B371" s="8" t="s">
        <v>1241</v>
      </c>
      <c r="C371" s="8" t="s">
        <v>1240</v>
      </c>
      <c r="D371" s="7" t="n">
        <v>1</v>
      </c>
      <c r="E371" s="15" t="s">
        <v>1239</v>
      </c>
      <c r="F371" s="15"/>
      <c r="G371" s="15"/>
    </row>
    <row r="372" customFormat="false" ht="15" hidden="false" customHeight="false" outlineLevel="0" collapsed="false">
      <c r="A372" s="7" t="s">
        <v>1025</v>
      </c>
      <c r="B372" s="8" t="s">
        <v>1140</v>
      </c>
      <c r="C372" s="8" t="s">
        <v>1139</v>
      </c>
      <c r="D372" s="7" t="n">
        <v>1</v>
      </c>
      <c r="E372" s="15" t="s">
        <v>1138</v>
      </c>
      <c r="F372" s="15"/>
      <c r="G372" s="15"/>
    </row>
    <row r="373" customFormat="false" ht="15" hidden="false" customHeight="false" outlineLevel="0" collapsed="false">
      <c r="A373" s="7" t="s">
        <v>1025</v>
      </c>
      <c r="B373" s="8" t="s">
        <v>1667</v>
      </c>
      <c r="C373" s="8" t="s">
        <v>1666</v>
      </c>
      <c r="D373" s="7" t="n">
        <v>1</v>
      </c>
      <c r="E373" s="15" t="s">
        <v>1662</v>
      </c>
      <c r="F373" s="15"/>
      <c r="G373" s="15"/>
    </row>
    <row r="374" customFormat="false" ht="15" hidden="false" customHeight="false" outlineLevel="0" collapsed="false">
      <c r="A374" s="7" t="s">
        <v>1025</v>
      </c>
      <c r="B374" s="8" t="s">
        <v>1355</v>
      </c>
      <c r="C374" s="8" t="s">
        <v>1353</v>
      </c>
      <c r="D374" s="7" t="n">
        <v>2</v>
      </c>
      <c r="E374" s="15" t="s">
        <v>2754</v>
      </c>
      <c r="F374" s="13" t="s">
        <v>87</v>
      </c>
      <c r="G374" s="14"/>
    </row>
    <row r="375" customFormat="false" ht="15" hidden="false" customHeight="false" outlineLevel="0" collapsed="false">
      <c r="A375" s="7" t="s">
        <v>1025</v>
      </c>
      <c r="B375" s="8" t="s">
        <v>1326</v>
      </c>
      <c r="C375" s="8" t="s">
        <v>1325</v>
      </c>
      <c r="D375" s="7" t="n">
        <v>2</v>
      </c>
      <c r="E375" s="15" t="s">
        <v>2755</v>
      </c>
      <c r="F375" s="13" t="s">
        <v>87</v>
      </c>
      <c r="G375" s="14"/>
    </row>
    <row r="376" customFormat="false" ht="15" hidden="false" customHeight="false" outlineLevel="0" collapsed="false">
      <c r="A376" s="7" t="s">
        <v>1025</v>
      </c>
      <c r="B376" s="8" t="s">
        <v>1676</v>
      </c>
      <c r="C376" s="8" t="s">
        <v>1675</v>
      </c>
      <c r="D376" s="7" t="n">
        <v>2</v>
      </c>
      <c r="E376" s="15" t="s">
        <v>2756</v>
      </c>
      <c r="F376" s="13" t="s">
        <v>87</v>
      </c>
      <c r="G376" s="14"/>
    </row>
    <row r="377" customFormat="false" ht="15" hidden="false" customHeight="false" outlineLevel="0" collapsed="false">
      <c r="A377" s="7" t="s">
        <v>1025</v>
      </c>
      <c r="B377" s="8" t="s">
        <v>1706</v>
      </c>
      <c r="C377" s="8" t="s">
        <v>1705</v>
      </c>
      <c r="D377" s="7" t="n">
        <v>1</v>
      </c>
      <c r="E377" s="15" t="s">
        <v>1704</v>
      </c>
      <c r="F377" s="15"/>
      <c r="G377" s="15"/>
    </row>
    <row r="378" customFormat="false" ht="15" hidden="false" customHeight="false" outlineLevel="0" collapsed="false">
      <c r="A378" s="7" t="s">
        <v>1025</v>
      </c>
      <c r="B378" s="8" t="s">
        <v>1429</v>
      </c>
      <c r="C378" s="8" t="s">
        <v>1427</v>
      </c>
      <c r="D378" s="7" t="n">
        <v>1</v>
      </c>
      <c r="E378" s="15" t="s">
        <v>1426</v>
      </c>
      <c r="F378" s="15"/>
      <c r="G378" s="15"/>
    </row>
    <row r="379" customFormat="false" ht="15" hidden="false" customHeight="false" outlineLevel="0" collapsed="false">
      <c r="A379" s="7" t="s">
        <v>1025</v>
      </c>
      <c r="B379" s="8" t="s">
        <v>1194</v>
      </c>
      <c r="C379" s="8" t="s">
        <v>1193</v>
      </c>
      <c r="D379" s="7" t="n">
        <v>1</v>
      </c>
      <c r="E379" s="15" t="s">
        <v>1190</v>
      </c>
      <c r="F379" s="15"/>
      <c r="G379" s="15"/>
    </row>
    <row r="380" customFormat="false" ht="15" hidden="false" customHeight="false" outlineLevel="0" collapsed="false">
      <c r="A380" s="7" t="s">
        <v>1025</v>
      </c>
      <c r="B380" s="8" t="s">
        <v>1301</v>
      </c>
      <c r="C380" s="8" t="s">
        <v>1300</v>
      </c>
      <c r="D380" s="7" t="n">
        <v>2</v>
      </c>
      <c r="E380" s="15" t="s">
        <v>2757</v>
      </c>
      <c r="F380" s="13" t="s">
        <v>87</v>
      </c>
      <c r="G380" s="14"/>
    </row>
    <row r="381" customFormat="false" ht="15" hidden="false" customHeight="false" outlineLevel="0" collapsed="false">
      <c r="A381" s="7" t="s">
        <v>1025</v>
      </c>
      <c r="B381" s="8" t="s">
        <v>1693</v>
      </c>
      <c r="C381" s="8" t="s">
        <v>1692</v>
      </c>
      <c r="D381" s="7" t="n">
        <v>1</v>
      </c>
      <c r="E381" s="15" t="s">
        <v>1691</v>
      </c>
      <c r="F381" s="15"/>
      <c r="G381" s="15"/>
    </row>
    <row r="382" customFormat="false" ht="15" hidden="false" customHeight="false" outlineLevel="0" collapsed="false">
      <c r="A382" s="7" t="s">
        <v>1025</v>
      </c>
      <c r="B382" s="8" t="s">
        <v>1632</v>
      </c>
      <c r="C382" s="8" t="s">
        <v>1630</v>
      </c>
      <c r="D382" s="7" t="n">
        <v>2</v>
      </c>
      <c r="E382" s="15" t="s">
        <v>2758</v>
      </c>
      <c r="F382" s="13" t="s">
        <v>87</v>
      </c>
      <c r="G382" s="14"/>
    </row>
    <row r="383" customFormat="false" ht="15" hidden="false" customHeight="false" outlineLevel="0" collapsed="false">
      <c r="A383" s="7" t="s">
        <v>1025</v>
      </c>
      <c r="B383" s="8" t="s">
        <v>1502</v>
      </c>
      <c r="C383" s="8" t="s">
        <v>1501</v>
      </c>
      <c r="D383" s="7" t="n">
        <v>3</v>
      </c>
      <c r="E383" s="15" t="s">
        <v>2759</v>
      </c>
      <c r="F383" s="13" t="s">
        <v>87</v>
      </c>
      <c r="G383" s="14"/>
    </row>
    <row r="384" customFormat="false" ht="15" hidden="false" customHeight="false" outlineLevel="0" collapsed="false">
      <c r="A384" s="7" t="s">
        <v>1025</v>
      </c>
      <c r="B384" s="8" t="s">
        <v>1397</v>
      </c>
      <c r="C384" s="8" t="s">
        <v>1396</v>
      </c>
      <c r="D384" s="7" t="n">
        <v>2</v>
      </c>
      <c r="E384" s="15" t="s">
        <v>2760</v>
      </c>
      <c r="F384" s="13" t="s">
        <v>87</v>
      </c>
      <c r="G384" s="14"/>
    </row>
    <row r="385" customFormat="false" ht="15" hidden="false" customHeight="false" outlineLevel="0" collapsed="false">
      <c r="A385" s="7" t="s">
        <v>1025</v>
      </c>
      <c r="B385" s="8" t="s">
        <v>1418</v>
      </c>
      <c r="C385" s="8" t="s">
        <v>1417</v>
      </c>
      <c r="D385" s="7" t="n">
        <v>1</v>
      </c>
      <c r="E385" s="15" t="s">
        <v>1416</v>
      </c>
      <c r="F385" s="15"/>
      <c r="G385" s="15"/>
    </row>
    <row r="386" customFormat="false" ht="15" hidden="false" customHeight="false" outlineLevel="0" collapsed="false">
      <c r="A386" s="7" t="s">
        <v>1025</v>
      </c>
      <c r="B386" s="8" t="s">
        <v>1336</v>
      </c>
      <c r="C386" s="8" t="s">
        <v>1335</v>
      </c>
      <c r="D386" s="7" t="n">
        <v>1</v>
      </c>
      <c r="E386" s="15" t="s">
        <v>1334</v>
      </c>
      <c r="F386" s="15"/>
      <c r="G386" s="15"/>
    </row>
    <row r="387" customFormat="false" ht="15" hidden="false" customHeight="false" outlineLevel="0" collapsed="false">
      <c r="A387" s="7" t="s">
        <v>1025</v>
      </c>
      <c r="B387" s="8" t="s">
        <v>1727</v>
      </c>
      <c r="C387" s="8" t="s">
        <v>1725</v>
      </c>
      <c r="D387" s="7" t="n">
        <v>1</v>
      </c>
      <c r="E387" s="15" t="s">
        <v>1724</v>
      </c>
      <c r="F387" s="15"/>
      <c r="G387" s="15"/>
    </row>
    <row r="388" customFormat="false" ht="15" hidden="false" customHeight="false" outlineLevel="0" collapsed="false">
      <c r="A388" s="7" t="s">
        <v>1025</v>
      </c>
      <c r="B388" s="8" t="s">
        <v>1910</v>
      </c>
      <c r="C388" s="8" t="s">
        <v>1909</v>
      </c>
      <c r="D388" s="7" t="n">
        <v>1</v>
      </c>
      <c r="E388" s="15" t="s">
        <v>1908</v>
      </c>
      <c r="F388" s="15"/>
      <c r="G388" s="15"/>
    </row>
    <row r="389" customFormat="false" ht="15" hidden="false" customHeight="false" outlineLevel="0" collapsed="false">
      <c r="A389" s="7" t="s">
        <v>1025</v>
      </c>
      <c r="B389" s="8" t="s">
        <v>1101</v>
      </c>
      <c r="C389" s="8" t="s">
        <v>1099</v>
      </c>
      <c r="D389" s="7" t="n">
        <v>1</v>
      </c>
      <c r="E389" s="15" t="s">
        <v>1098</v>
      </c>
      <c r="F389" s="13" t="s">
        <v>74</v>
      </c>
      <c r="G389" s="14"/>
    </row>
    <row r="390" customFormat="false" ht="15" hidden="false" customHeight="false" outlineLevel="0" collapsed="false">
      <c r="A390" s="7" t="s">
        <v>1025</v>
      </c>
      <c r="B390" s="8" t="s">
        <v>1596</v>
      </c>
      <c r="C390" s="8" t="s">
        <v>1595</v>
      </c>
      <c r="D390" s="7" t="n">
        <v>1</v>
      </c>
      <c r="E390" s="15" t="s">
        <v>1594</v>
      </c>
      <c r="F390" s="15"/>
      <c r="G390" s="15"/>
    </row>
    <row r="391" customFormat="false" ht="15" hidden="false" customHeight="false" outlineLevel="0" collapsed="false">
      <c r="A391" s="7" t="s">
        <v>1025</v>
      </c>
      <c r="B391" s="8" t="s">
        <v>1749</v>
      </c>
      <c r="C391" s="8" t="s">
        <v>1747</v>
      </c>
      <c r="D391" s="7" t="n">
        <v>1</v>
      </c>
      <c r="E391" s="15" t="s">
        <v>1746</v>
      </c>
      <c r="F391" s="15"/>
      <c r="G391" s="15"/>
    </row>
    <row r="392" customFormat="false" ht="15" hidden="false" customHeight="false" outlineLevel="0" collapsed="false">
      <c r="A392" s="7" t="s">
        <v>1025</v>
      </c>
      <c r="B392" s="8" t="s">
        <v>1654</v>
      </c>
      <c r="C392" s="8" t="s">
        <v>1652</v>
      </c>
      <c r="D392" s="7" t="n">
        <v>1</v>
      </c>
      <c r="E392" s="15" t="s">
        <v>1651</v>
      </c>
      <c r="F392" s="15"/>
      <c r="G392" s="15"/>
    </row>
    <row r="393" customFormat="false" ht="15" hidden="false" customHeight="false" outlineLevel="0" collapsed="false">
      <c r="A393" s="7" t="s">
        <v>1025</v>
      </c>
      <c r="B393" s="8" t="s">
        <v>1646</v>
      </c>
      <c r="C393" s="8" t="s">
        <v>1645</v>
      </c>
      <c r="D393" s="7" t="n">
        <v>1</v>
      </c>
      <c r="E393" s="15" t="s">
        <v>1644</v>
      </c>
      <c r="F393" s="15"/>
      <c r="G393" s="15"/>
    </row>
    <row r="394" customFormat="false" ht="15" hidden="false" customHeight="false" outlineLevel="0" collapsed="false">
      <c r="A394" s="7" t="s">
        <v>1025</v>
      </c>
      <c r="B394" s="8" t="s">
        <v>1716</v>
      </c>
      <c r="C394" s="8" t="s">
        <v>1714</v>
      </c>
      <c r="D394" s="7" t="n">
        <v>1</v>
      </c>
      <c r="E394" s="15" t="s">
        <v>1713</v>
      </c>
      <c r="F394" s="15"/>
      <c r="G394" s="15"/>
    </row>
    <row r="395" customFormat="false" ht="15" hidden="false" customHeight="false" outlineLevel="0" collapsed="false">
      <c r="A395" s="7" t="s">
        <v>1025</v>
      </c>
      <c r="B395" s="8" t="s">
        <v>1690</v>
      </c>
      <c r="C395" s="8" t="s">
        <v>1688</v>
      </c>
      <c r="D395" s="7" t="n">
        <v>1</v>
      </c>
      <c r="E395" s="15" t="s">
        <v>1687</v>
      </c>
      <c r="F395" s="13" t="s">
        <v>74</v>
      </c>
      <c r="G395" s="14"/>
    </row>
    <row r="396" customFormat="false" ht="15" hidden="false" customHeight="false" outlineLevel="0" collapsed="false">
      <c r="A396" s="7" t="s">
        <v>1025</v>
      </c>
      <c r="B396" s="8" t="s">
        <v>1105</v>
      </c>
      <c r="C396" s="8" t="s">
        <v>1103</v>
      </c>
      <c r="D396" s="7" t="n">
        <v>1</v>
      </c>
      <c r="E396" s="15" t="s">
        <v>1102</v>
      </c>
      <c r="F396" s="15"/>
      <c r="G396" s="15"/>
    </row>
    <row r="397" customFormat="false" ht="15" hidden="false" customHeight="false" outlineLevel="0" collapsed="false">
      <c r="A397" s="7" t="s">
        <v>1025</v>
      </c>
      <c r="B397" s="8" t="s">
        <v>1244</v>
      </c>
      <c r="C397" s="8" t="s">
        <v>1243</v>
      </c>
      <c r="D397" s="7" t="n">
        <v>1</v>
      </c>
      <c r="E397" s="15" t="s">
        <v>1242</v>
      </c>
      <c r="F397" s="13" t="s">
        <v>1204</v>
      </c>
      <c r="G397" s="14"/>
    </row>
    <row r="398" customFormat="false" ht="15" hidden="false" customHeight="false" outlineLevel="0" collapsed="false">
      <c r="A398" s="7" t="s">
        <v>1025</v>
      </c>
      <c r="B398" s="8" t="s">
        <v>1933</v>
      </c>
      <c r="C398" s="8" t="s">
        <v>1931</v>
      </c>
      <c r="D398" s="7" t="n">
        <v>1</v>
      </c>
      <c r="E398" s="15" t="s">
        <v>1930</v>
      </c>
      <c r="F398" s="15"/>
      <c r="G398" s="15"/>
    </row>
    <row r="399" customFormat="false" ht="15" hidden="false" customHeight="false" outlineLevel="0" collapsed="false">
      <c r="A399" s="7" t="s">
        <v>1025</v>
      </c>
      <c r="B399" s="8" t="s">
        <v>1057</v>
      </c>
      <c r="C399" s="8" t="s">
        <v>1056</v>
      </c>
      <c r="D399" s="7" t="n">
        <v>2</v>
      </c>
      <c r="E399" s="15" t="s">
        <v>2761</v>
      </c>
      <c r="F399" s="13" t="s">
        <v>87</v>
      </c>
      <c r="G399" s="14"/>
    </row>
    <row r="400" customFormat="false" ht="15" hidden="false" customHeight="false" outlineLevel="0" collapsed="false">
      <c r="A400" s="7" t="s">
        <v>1025</v>
      </c>
      <c r="B400" s="8" t="s">
        <v>1259</v>
      </c>
      <c r="C400" s="8" t="s">
        <v>1257</v>
      </c>
      <c r="D400" s="7" t="n">
        <v>1</v>
      </c>
      <c r="E400" s="15" t="s">
        <v>1254</v>
      </c>
      <c r="F400" s="15"/>
      <c r="G400" s="15"/>
    </row>
    <row r="401" customFormat="false" ht="15" hidden="false" customHeight="false" outlineLevel="0" collapsed="false">
      <c r="A401" s="7" t="s">
        <v>1025</v>
      </c>
      <c r="B401" s="8" t="s">
        <v>1168</v>
      </c>
      <c r="C401" s="8" t="s">
        <v>1167</v>
      </c>
      <c r="D401" s="7" t="n">
        <v>1</v>
      </c>
      <c r="E401" s="15" t="s">
        <v>1166</v>
      </c>
      <c r="F401" s="15"/>
      <c r="G401" s="15"/>
    </row>
    <row r="402" customFormat="false" ht="15" hidden="false" customHeight="false" outlineLevel="0" collapsed="false">
      <c r="A402" s="7" t="s">
        <v>1025</v>
      </c>
      <c r="B402" s="8" t="s">
        <v>1127</v>
      </c>
      <c r="C402" s="8" t="s">
        <v>1126</v>
      </c>
      <c r="D402" s="7" t="n">
        <v>1</v>
      </c>
      <c r="E402" s="15" t="s">
        <v>1123</v>
      </c>
      <c r="F402" s="15"/>
      <c r="G402" s="15"/>
    </row>
    <row r="403" customFormat="false" ht="15" hidden="false" customHeight="false" outlineLevel="0" collapsed="false">
      <c r="A403" s="7" t="s">
        <v>1025</v>
      </c>
      <c r="B403" s="8" t="s">
        <v>1836</v>
      </c>
      <c r="C403" s="8" t="s">
        <v>1835</v>
      </c>
      <c r="D403" s="7" t="n">
        <v>1</v>
      </c>
      <c r="E403" s="15" t="s">
        <v>1834</v>
      </c>
      <c r="F403" s="15"/>
      <c r="G403" s="15"/>
    </row>
    <row r="404" customFormat="false" ht="15" hidden="false" customHeight="false" outlineLevel="0" collapsed="false">
      <c r="A404" s="7" t="s">
        <v>1025</v>
      </c>
      <c r="B404" s="8" t="s">
        <v>1493</v>
      </c>
      <c r="C404" s="8" t="s">
        <v>1492</v>
      </c>
      <c r="D404" s="7" t="n">
        <v>1</v>
      </c>
      <c r="E404" s="15" t="s">
        <v>1491</v>
      </c>
      <c r="F404" s="15"/>
      <c r="G404" s="15"/>
    </row>
    <row r="405" customFormat="false" ht="15" hidden="false" customHeight="false" outlineLevel="0" collapsed="false">
      <c r="A405" s="7" t="s">
        <v>1025</v>
      </c>
      <c r="B405" s="8" t="s">
        <v>1518</v>
      </c>
      <c r="C405" s="8" t="s">
        <v>1516</v>
      </c>
      <c r="D405" s="7" t="n">
        <v>1</v>
      </c>
      <c r="E405" s="15" t="s">
        <v>1515</v>
      </c>
      <c r="F405" s="15"/>
      <c r="G405" s="15"/>
    </row>
    <row r="406" customFormat="false" ht="15" hidden="false" customHeight="false" outlineLevel="0" collapsed="false">
      <c r="A406" s="7" t="s">
        <v>1025</v>
      </c>
      <c r="B406" s="8" t="s">
        <v>1723</v>
      </c>
      <c r="C406" s="8" t="s">
        <v>1721</v>
      </c>
      <c r="D406" s="7" t="n">
        <v>1</v>
      </c>
      <c r="E406" s="15" t="s">
        <v>1720</v>
      </c>
      <c r="F406" s="15"/>
      <c r="G406" s="15"/>
    </row>
    <row r="407" customFormat="false" ht="15" hidden="false" customHeight="false" outlineLevel="0" collapsed="false">
      <c r="A407" s="7" t="s">
        <v>1025</v>
      </c>
      <c r="B407" s="8" t="s">
        <v>1097</v>
      </c>
      <c r="C407" s="8" t="s">
        <v>1095</v>
      </c>
      <c r="D407" s="7" t="n">
        <v>1</v>
      </c>
      <c r="E407" s="15" t="s">
        <v>1094</v>
      </c>
      <c r="F407" s="15"/>
      <c r="G407" s="15"/>
    </row>
    <row r="408" customFormat="false" ht="15" hidden="false" customHeight="false" outlineLevel="0" collapsed="false">
      <c r="A408" s="7" t="s">
        <v>1025</v>
      </c>
      <c r="B408" s="8" t="s">
        <v>1589</v>
      </c>
      <c r="C408" s="8" t="s">
        <v>1587</v>
      </c>
      <c r="D408" s="7" t="n">
        <v>1</v>
      </c>
      <c r="E408" s="15" t="s">
        <v>1586</v>
      </c>
      <c r="F408" s="15"/>
      <c r="G408" s="15"/>
    </row>
    <row r="409" customFormat="false" ht="15" hidden="false" customHeight="false" outlineLevel="0" collapsed="false">
      <c r="A409" s="7" t="s">
        <v>1025</v>
      </c>
      <c r="B409" s="8" t="s">
        <v>1425</v>
      </c>
      <c r="C409" s="8" t="s">
        <v>1424</v>
      </c>
      <c r="D409" s="7" t="n">
        <v>1</v>
      </c>
      <c r="E409" s="15" t="s">
        <v>1423</v>
      </c>
      <c r="F409" s="15"/>
      <c r="G409" s="15"/>
    </row>
    <row r="410" customFormat="false" ht="15" hidden="false" customHeight="false" outlineLevel="0" collapsed="false">
      <c r="A410" s="7" t="s">
        <v>1025</v>
      </c>
      <c r="B410" s="8" t="s">
        <v>1362</v>
      </c>
      <c r="C410" s="8" t="s">
        <v>1361</v>
      </c>
      <c r="D410" s="7" t="n">
        <v>1</v>
      </c>
      <c r="E410" s="15" t="s">
        <v>1360</v>
      </c>
      <c r="F410" s="15"/>
      <c r="G410" s="15"/>
    </row>
    <row r="411" customFormat="false" ht="15" hidden="false" customHeight="false" outlineLevel="0" collapsed="false">
      <c r="A411" s="7" t="s">
        <v>1025</v>
      </c>
      <c r="B411" s="8" t="s">
        <v>1624</v>
      </c>
      <c r="C411" s="8" t="s">
        <v>1622</v>
      </c>
      <c r="D411" s="7" t="n">
        <v>1</v>
      </c>
      <c r="E411" s="15" t="s">
        <v>1621</v>
      </c>
      <c r="F411" s="15"/>
      <c r="G411" s="15"/>
    </row>
    <row r="412" customFormat="false" ht="15" hidden="false" customHeight="false" outlineLevel="0" collapsed="false">
      <c r="A412" s="7" t="s">
        <v>1025</v>
      </c>
      <c r="B412" s="8" t="s">
        <v>1333</v>
      </c>
      <c r="C412" s="8" t="s">
        <v>1332</v>
      </c>
      <c r="D412" s="7" t="n">
        <v>1</v>
      </c>
      <c r="E412" s="15" t="s">
        <v>1331</v>
      </c>
      <c r="F412" s="15"/>
      <c r="G412" s="15"/>
    </row>
    <row r="413" customFormat="false" ht="15" hidden="false" customHeight="false" outlineLevel="0" collapsed="false">
      <c r="A413" s="7" t="s">
        <v>1025</v>
      </c>
      <c r="B413" s="8" t="s">
        <v>1766</v>
      </c>
      <c r="C413" s="8" t="s">
        <v>1765</v>
      </c>
      <c r="D413" s="7" t="n">
        <v>1</v>
      </c>
      <c r="E413" s="15" t="s">
        <v>1764</v>
      </c>
      <c r="F413" s="15"/>
      <c r="G413" s="15"/>
    </row>
    <row r="414" customFormat="false" ht="15" hidden="false" customHeight="false" outlineLevel="0" collapsed="false">
      <c r="A414" s="7" t="s">
        <v>1025</v>
      </c>
      <c r="B414" s="8" t="s">
        <v>1850</v>
      </c>
      <c r="C414" s="8" t="s">
        <v>1849</v>
      </c>
      <c r="D414" s="7" t="n">
        <v>2</v>
      </c>
      <c r="E414" s="15" t="s">
        <v>2762</v>
      </c>
      <c r="F414" s="13" t="s">
        <v>87</v>
      </c>
      <c r="G414" s="14"/>
    </row>
    <row r="415" customFormat="false" ht="15" hidden="false" customHeight="false" outlineLevel="0" collapsed="false">
      <c r="A415" s="7" t="s">
        <v>1025</v>
      </c>
      <c r="B415" s="8" t="s">
        <v>1412</v>
      </c>
      <c r="C415" s="8" t="s">
        <v>1411</v>
      </c>
      <c r="D415" s="7" t="n">
        <v>1</v>
      </c>
      <c r="E415" s="15" t="s">
        <v>1410</v>
      </c>
      <c r="F415" s="15"/>
      <c r="G415" s="15"/>
    </row>
    <row r="416" customFormat="false" ht="15" hidden="false" customHeight="false" outlineLevel="0" collapsed="false">
      <c r="A416" s="7" t="s">
        <v>1025</v>
      </c>
      <c r="B416" s="8" t="s">
        <v>1312</v>
      </c>
      <c r="C416" s="8" t="s">
        <v>1310</v>
      </c>
      <c r="D416" s="7" t="n">
        <v>1</v>
      </c>
      <c r="E416" s="15" t="s">
        <v>1309</v>
      </c>
      <c r="F416" s="15"/>
      <c r="G416" s="15"/>
    </row>
    <row r="417" customFormat="false" ht="15" hidden="false" customHeight="false" outlineLevel="0" collapsed="false">
      <c r="A417" s="7" t="s">
        <v>1025</v>
      </c>
      <c r="B417" s="8" t="s">
        <v>1154</v>
      </c>
      <c r="C417" s="8" t="s">
        <v>1153</v>
      </c>
      <c r="D417" s="7" t="n">
        <v>1</v>
      </c>
      <c r="E417" s="15" t="s">
        <v>1152</v>
      </c>
      <c r="F417" s="15"/>
      <c r="G417" s="15"/>
    </row>
    <row r="418" customFormat="false" ht="15" hidden="false" customHeight="false" outlineLevel="0" collapsed="false">
      <c r="A418" s="7" t="s">
        <v>1025</v>
      </c>
      <c r="B418" s="8" t="s">
        <v>1886</v>
      </c>
      <c r="C418" s="8" t="s">
        <v>1885</v>
      </c>
      <c r="D418" s="7" t="n">
        <v>1</v>
      </c>
      <c r="E418" s="15" t="s">
        <v>1884</v>
      </c>
      <c r="F418" s="15"/>
      <c r="G418" s="15"/>
    </row>
    <row r="419" customFormat="false" ht="15" hidden="false" customHeight="false" outlineLevel="0" collapsed="false">
      <c r="A419" s="7" t="s">
        <v>1025</v>
      </c>
      <c r="B419" s="8" t="s">
        <v>1868</v>
      </c>
      <c r="C419" s="8" t="s">
        <v>1867</v>
      </c>
      <c r="D419" s="7" t="n">
        <v>1</v>
      </c>
      <c r="E419" s="15" t="s">
        <v>1866</v>
      </c>
      <c r="F419" s="15"/>
      <c r="G419" s="15"/>
    </row>
    <row r="420" customFormat="false" ht="15" hidden="false" customHeight="false" outlineLevel="0" collapsed="false">
      <c r="A420" s="7" t="s">
        <v>1025</v>
      </c>
      <c r="B420" s="8" t="s">
        <v>1839</v>
      </c>
      <c r="C420" s="8" t="s">
        <v>1838</v>
      </c>
      <c r="D420" s="7" t="n">
        <v>1</v>
      </c>
      <c r="E420" s="15" t="s">
        <v>1837</v>
      </c>
      <c r="F420" s="15"/>
      <c r="G420" s="15"/>
    </row>
    <row r="421" customFormat="false" ht="15" hidden="false" customHeight="false" outlineLevel="0" collapsed="false">
      <c r="A421" s="7" t="s">
        <v>1025</v>
      </c>
      <c r="B421" s="8" t="s">
        <v>1966</v>
      </c>
      <c r="C421" s="8" t="s">
        <v>1965</v>
      </c>
      <c r="D421" s="7" t="n">
        <v>1</v>
      </c>
      <c r="E421" s="15" t="s">
        <v>1964</v>
      </c>
      <c r="F421" s="15"/>
      <c r="G421" s="15"/>
    </row>
    <row r="422" customFormat="false" ht="15" hidden="false" customHeight="false" outlineLevel="0" collapsed="false">
      <c r="A422" s="7" t="s">
        <v>1025</v>
      </c>
      <c r="B422" s="8" t="s">
        <v>1697</v>
      </c>
      <c r="C422" s="8" t="s">
        <v>1695</v>
      </c>
      <c r="D422" s="7" t="n">
        <v>1</v>
      </c>
      <c r="E422" s="15" t="s">
        <v>1694</v>
      </c>
      <c r="F422" s="15"/>
      <c r="G422" s="15"/>
    </row>
    <row r="423" customFormat="false" ht="15" hidden="false" customHeight="false" outlineLevel="0" collapsed="false">
      <c r="A423" s="7" t="s">
        <v>1025</v>
      </c>
      <c r="B423" s="8" t="s">
        <v>1232</v>
      </c>
      <c r="C423" s="8" t="s">
        <v>1231</v>
      </c>
      <c r="D423" s="7" t="n">
        <v>1</v>
      </c>
      <c r="E423" s="15" t="s">
        <v>1230</v>
      </c>
      <c r="F423" s="15"/>
      <c r="G423" s="15"/>
    </row>
    <row r="424" customFormat="false" ht="15" hidden="false" customHeight="false" outlineLevel="0" collapsed="false">
      <c r="A424" s="7" t="s">
        <v>1025</v>
      </c>
      <c r="B424" s="8" t="s">
        <v>1109</v>
      </c>
      <c r="C424" s="8" t="s">
        <v>1107</v>
      </c>
      <c r="D424" s="7" t="n">
        <v>1</v>
      </c>
      <c r="E424" s="15" t="s">
        <v>1106</v>
      </c>
      <c r="F424" s="14"/>
      <c r="G424" s="14" t="s">
        <v>1110</v>
      </c>
    </row>
    <row r="425" customFormat="false" ht="15" hidden="false" customHeight="false" outlineLevel="0" collapsed="false">
      <c r="A425" s="7" t="s">
        <v>1025</v>
      </c>
      <c r="B425" s="8" t="s">
        <v>1794</v>
      </c>
      <c r="C425" s="8" t="s">
        <v>1793</v>
      </c>
      <c r="D425" s="7" t="n">
        <v>1</v>
      </c>
      <c r="E425" s="15" t="s">
        <v>1792</v>
      </c>
      <c r="F425" s="15"/>
      <c r="G425" s="15"/>
    </row>
    <row r="426" customFormat="false" ht="15" hidden="false" customHeight="false" outlineLevel="0" collapsed="false">
      <c r="A426" s="7" t="s">
        <v>1025</v>
      </c>
      <c r="B426" s="8" t="s">
        <v>1797</v>
      </c>
      <c r="C426" s="8" t="s">
        <v>1796</v>
      </c>
      <c r="D426" s="7" t="n">
        <v>2</v>
      </c>
      <c r="E426" s="15" t="s">
        <v>2763</v>
      </c>
      <c r="F426" s="13" t="s">
        <v>87</v>
      </c>
      <c r="G426" s="14"/>
    </row>
    <row r="427" customFormat="false" ht="15" hidden="false" customHeight="false" outlineLevel="0" collapsed="false">
      <c r="A427" s="7" t="s">
        <v>1025</v>
      </c>
      <c r="B427" s="8" t="s">
        <v>1730</v>
      </c>
      <c r="C427" s="8" t="s">
        <v>1729</v>
      </c>
      <c r="D427" s="7" t="n">
        <v>3</v>
      </c>
      <c r="E427" s="15" t="s">
        <v>2764</v>
      </c>
      <c r="F427" s="13" t="s">
        <v>87</v>
      </c>
      <c r="G427" s="14"/>
    </row>
    <row r="428" customFormat="false" ht="15" hidden="false" customHeight="false" outlineLevel="0" collapsed="false">
      <c r="A428" s="7" t="s">
        <v>1025</v>
      </c>
      <c r="B428" s="8" t="s">
        <v>1882</v>
      </c>
      <c r="C428" s="8" t="s">
        <v>1881</v>
      </c>
      <c r="D428" s="7" t="n">
        <v>1</v>
      </c>
      <c r="E428" s="15" t="s">
        <v>1880</v>
      </c>
      <c r="F428" s="13" t="s">
        <v>74</v>
      </c>
      <c r="G428" s="14"/>
    </row>
    <row r="429" customFormat="false" ht="15" hidden="false" customHeight="false" outlineLevel="0" collapsed="false">
      <c r="A429" s="7" t="s">
        <v>1025</v>
      </c>
      <c r="B429" s="8" t="s">
        <v>1638</v>
      </c>
      <c r="C429" s="8" t="s">
        <v>1637</v>
      </c>
      <c r="D429" s="7" t="n">
        <v>1</v>
      </c>
      <c r="E429" s="15" t="s">
        <v>1636</v>
      </c>
      <c r="F429" s="13" t="s">
        <v>74</v>
      </c>
      <c r="G429" s="14" t="s">
        <v>1639</v>
      </c>
    </row>
    <row r="430" customFormat="false" ht="15" hidden="false" customHeight="false" outlineLevel="0" collapsed="false">
      <c r="A430" s="7" t="s">
        <v>1025</v>
      </c>
      <c r="B430" s="8" t="s">
        <v>1543</v>
      </c>
      <c r="C430" s="8" t="s">
        <v>1542</v>
      </c>
      <c r="D430" s="7" t="n">
        <v>1</v>
      </c>
      <c r="E430" s="15" t="s">
        <v>1541</v>
      </c>
      <c r="F430" s="15"/>
      <c r="G430" s="15"/>
    </row>
    <row r="431" customFormat="false" ht="15" hidden="false" customHeight="false" outlineLevel="0" collapsed="false">
      <c r="A431" s="7" t="s">
        <v>1025</v>
      </c>
      <c r="B431" s="8" t="s">
        <v>1253</v>
      </c>
      <c r="C431" s="8" t="s">
        <v>1251</v>
      </c>
      <c r="D431" s="7" t="n">
        <v>1</v>
      </c>
      <c r="E431" s="15" t="s">
        <v>1250</v>
      </c>
      <c r="F431" s="15"/>
      <c r="G431" s="15"/>
    </row>
    <row r="432" customFormat="false" ht="15" hidden="false" customHeight="false" outlineLevel="0" collapsed="false">
      <c r="A432" s="7" t="s">
        <v>1025</v>
      </c>
      <c r="B432" s="8" t="s">
        <v>1847</v>
      </c>
      <c r="C432" s="8" t="s">
        <v>1846</v>
      </c>
      <c r="D432" s="7" t="n">
        <v>1</v>
      </c>
      <c r="E432" s="15" t="s">
        <v>1845</v>
      </c>
      <c r="F432" s="15"/>
      <c r="G432" s="15"/>
    </row>
    <row r="433" customFormat="false" ht="15" hidden="false" customHeight="false" outlineLevel="0" collapsed="false">
      <c r="A433" s="7" t="s">
        <v>1025</v>
      </c>
      <c r="B433" s="8" t="s">
        <v>1928</v>
      </c>
      <c r="C433" s="8" t="s">
        <v>1926</v>
      </c>
      <c r="D433" s="7" t="n">
        <v>1</v>
      </c>
      <c r="E433" s="15" t="s">
        <v>1925</v>
      </c>
      <c r="F433" s="15"/>
      <c r="G433" s="15"/>
    </row>
    <row r="434" customFormat="false" ht="15" hidden="false" customHeight="false" outlineLevel="0" collapsed="false">
      <c r="A434" s="7" t="s">
        <v>1025</v>
      </c>
      <c r="B434" s="8" t="s">
        <v>1570</v>
      </c>
      <c r="C434" s="8" t="s">
        <v>1569</v>
      </c>
      <c r="D434" s="7" t="n">
        <v>2</v>
      </c>
      <c r="E434" s="15" t="s">
        <v>2765</v>
      </c>
      <c r="F434" s="13" t="s">
        <v>87</v>
      </c>
      <c r="G434" s="14"/>
    </row>
    <row r="435" customFormat="false" ht="15" hidden="false" customHeight="false" outlineLevel="0" collapsed="false">
      <c r="A435" s="7" t="s">
        <v>1025</v>
      </c>
      <c r="B435" s="8" t="s">
        <v>1549</v>
      </c>
      <c r="C435" s="8" t="s">
        <v>1548</v>
      </c>
      <c r="D435" s="7" t="n">
        <v>5</v>
      </c>
      <c r="E435" s="15" t="s">
        <v>2766</v>
      </c>
      <c r="F435" s="13" t="s">
        <v>87</v>
      </c>
      <c r="G435" s="14"/>
    </row>
    <row r="436" customFormat="false" ht="23.85" hidden="false" customHeight="false" outlineLevel="0" collapsed="false">
      <c r="A436" s="7" t="s">
        <v>1025</v>
      </c>
      <c r="B436" s="8" t="s">
        <v>1875</v>
      </c>
      <c r="C436" s="8" t="s">
        <v>1874</v>
      </c>
      <c r="D436" s="7" t="n">
        <v>6</v>
      </c>
      <c r="E436" s="15" t="s">
        <v>2767</v>
      </c>
      <c r="F436" s="13" t="s">
        <v>87</v>
      </c>
      <c r="G436" s="14"/>
    </row>
    <row r="437" customFormat="false" ht="15" hidden="false" customHeight="false" outlineLevel="0" collapsed="false">
      <c r="A437" s="7" t="s">
        <v>1025</v>
      </c>
      <c r="B437" s="8" t="s">
        <v>1924</v>
      </c>
      <c r="C437" s="8" t="s">
        <v>1923</v>
      </c>
      <c r="D437" s="7" t="n">
        <v>1</v>
      </c>
      <c r="E437" s="15" t="s">
        <v>1922</v>
      </c>
      <c r="F437" s="15"/>
      <c r="G437" s="15"/>
    </row>
    <row r="438" customFormat="false" ht="15" hidden="false" customHeight="false" outlineLevel="0" collapsed="false">
      <c r="A438" s="7" t="s">
        <v>1025</v>
      </c>
      <c r="B438" s="8" t="s">
        <v>1391</v>
      </c>
      <c r="C438" s="8" t="s">
        <v>1390</v>
      </c>
      <c r="D438" s="7" t="n">
        <v>1</v>
      </c>
      <c r="E438" s="15" t="s">
        <v>1389</v>
      </c>
      <c r="F438" s="15"/>
      <c r="G438" s="15"/>
    </row>
    <row r="439" customFormat="false" ht="15" hidden="false" customHeight="false" outlineLevel="0" collapsed="false">
      <c r="A439" s="7" t="s">
        <v>1025</v>
      </c>
      <c r="B439" s="8" t="s">
        <v>1959</v>
      </c>
      <c r="C439" s="8" t="s">
        <v>1958</v>
      </c>
      <c r="D439" s="7" t="n">
        <v>1</v>
      </c>
      <c r="E439" s="15" t="s">
        <v>1957</v>
      </c>
      <c r="F439" s="13" t="s">
        <v>74</v>
      </c>
      <c r="G439" s="14"/>
    </row>
    <row r="440" customFormat="false" ht="15" hidden="false" customHeight="false" outlineLevel="0" collapsed="false">
      <c r="A440" s="7" t="s">
        <v>1025</v>
      </c>
      <c r="B440" s="8" t="s">
        <v>1613</v>
      </c>
      <c r="C440" s="8" t="s">
        <v>1612</v>
      </c>
      <c r="D440" s="7" t="n">
        <v>1</v>
      </c>
      <c r="E440" s="15" t="s">
        <v>1611</v>
      </c>
      <c r="F440" s="15"/>
      <c r="G440" s="15"/>
    </row>
    <row r="441" customFormat="false" ht="15" hidden="false" customHeight="false" outlineLevel="0" collapsed="false">
      <c r="A441" s="7" t="s">
        <v>1025</v>
      </c>
      <c r="B441" s="8" t="s">
        <v>1920</v>
      </c>
      <c r="C441" s="8" t="s">
        <v>1918</v>
      </c>
      <c r="D441" s="7" t="n">
        <v>1</v>
      </c>
      <c r="E441" s="15" t="s">
        <v>1917</v>
      </c>
      <c r="F441" s="13" t="s">
        <v>2768</v>
      </c>
      <c r="G441" s="14"/>
    </row>
    <row r="442" customFormat="false" ht="15" hidden="false" customHeight="false" outlineLevel="0" collapsed="false">
      <c r="A442" s="7" t="s">
        <v>1025</v>
      </c>
      <c r="B442" s="8" t="s">
        <v>1405</v>
      </c>
      <c r="C442" s="8" t="s">
        <v>1404</v>
      </c>
      <c r="D442" s="7" t="n">
        <v>1</v>
      </c>
      <c r="E442" s="15" t="s">
        <v>1403</v>
      </c>
      <c r="F442" s="15"/>
      <c r="G442" s="15"/>
    </row>
    <row r="443" customFormat="false" ht="15" hidden="false" customHeight="false" outlineLevel="0" collapsed="false">
      <c r="A443" s="7" t="s">
        <v>1025</v>
      </c>
      <c r="B443" s="8" t="s">
        <v>1864</v>
      </c>
      <c r="C443" s="8" t="s">
        <v>1863</v>
      </c>
      <c r="D443" s="7" t="n">
        <v>2</v>
      </c>
      <c r="E443" s="15" t="s">
        <v>2769</v>
      </c>
      <c r="F443" s="13" t="s">
        <v>87</v>
      </c>
      <c r="G443" s="14"/>
    </row>
    <row r="444" customFormat="false" ht="15" hidden="false" customHeight="false" outlineLevel="0" collapsed="false">
      <c r="A444" s="7" t="s">
        <v>1025</v>
      </c>
      <c r="B444" s="8" t="s">
        <v>1229</v>
      </c>
      <c r="C444" s="8" t="s">
        <v>1228</v>
      </c>
      <c r="D444" s="7" t="n">
        <v>2</v>
      </c>
      <c r="E444" s="15" t="s">
        <v>2770</v>
      </c>
      <c r="F444" s="13" t="s">
        <v>87</v>
      </c>
      <c r="G444" s="14"/>
    </row>
    <row r="445" customFormat="false" ht="15" hidden="false" customHeight="false" outlineLevel="0" collapsed="false">
      <c r="A445" s="7" t="s">
        <v>1025</v>
      </c>
      <c r="B445" s="8" t="s">
        <v>1480</v>
      </c>
      <c r="C445" s="8" t="s">
        <v>1479</v>
      </c>
      <c r="D445" s="7" t="n">
        <v>1</v>
      </c>
      <c r="E445" s="15" t="s">
        <v>1478</v>
      </c>
      <c r="F445" s="15"/>
      <c r="G445" s="15"/>
    </row>
    <row r="446" customFormat="false" ht="15" hidden="false" customHeight="false" outlineLevel="0" collapsed="false">
      <c r="A446" s="7" t="s">
        <v>1025</v>
      </c>
      <c r="B446" s="8" t="s">
        <v>1385</v>
      </c>
      <c r="C446" s="8" t="s">
        <v>1384</v>
      </c>
      <c r="D446" s="7" t="n">
        <v>1</v>
      </c>
      <c r="E446" s="15" t="s">
        <v>1383</v>
      </c>
      <c r="F446" s="15"/>
      <c r="G446" s="15"/>
    </row>
    <row r="447" customFormat="false" ht="15" hidden="false" customHeight="false" outlineLevel="0" collapsed="false">
      <c r="A447" s="7" t="s">
        <v>1025</v>
      </c>
      <c r="B447" s="8" t="s">
        <v>1810</v>
      </c>
      <c r="C447" s="8" t="s">
        <v>1809</v>
      </c>
      <c r="D447" s="7" t="n">
        <v>1</v>
      </c>
      <c r="E447" s="15" t="s">
        <v>1808</v>
      </c>
      <c r="F447" s="15"/>
      <c r="G447" s="15"/>
    </row>
    <row r="448" customFormat="false" ht="15" hidden="false" customHeight="false" outlineLevel="0" collapsed="false">
      <c r="A448" s="7" t="s">
        <v>1025</v>
      </c>
      <c r="B448" s="8" t="s">
        <v>1174</v>
      </c>
      <c r="C448" s="8" t="s">
        <v>1173</v>
      </c>
      <c r="D448" s="7" t="n">
        <v>1</v>
      </c>
      <c r="E448" s="15" t="s">
        <v>1172</v>
      </c>
      <c r="F448" s="15"/>
      <c r="G448" s="15"/>
    </row>
    <row r="449" customFormat="false" ht="15" hidden="false" customHeight="false" outlineLevel="0" collapsed="false">
      <c r="A449" s="7" t="s">
        <v>1025</v>
      </c>
      <c r="B449" s="8" t="s">
        <v>1441</v>
      </c>
      <c r="C449" s="8" t="s">
        <v>1440</v>
      </c>
      <c r="D449" s="7" t="n">
        <v>2</v>
      </c>
      <c r="E449" s="15" t="s">
        <v>2771</v>
      </c>
      <c r="F449" s="13" t="s">
        <v>87</v>
      </c>
      <c r="G449" s="14"/>
    </row>
    <row r="450" customFormat="false" ht="15" hidden="false" customHeight="false" outlineLevel="0" collapsed="false">
      <c r="A450" s="7" t="s">
        <v>1025</v>
      </c>
      <c r="B450" s="8" t="s">
        <v>1060</v>
      </c>
      <c r="C450" s="8" t="s">
        <v>1059</v>
      </c>
      <c r="D450" s="7" t="n">
        <v>1</v>
      </c>
      <c r="E450" s="15" t="s">
        <v>1058</v>
      </c>
      <c r="F450" s="15"/>
      <c r="G450" s="15"/>
    </row>
    <row r="451" customFormat="false" ht="15" hidden="false" customHeight="false" outlineLevel="0" collapsed="false">
      <c r="A451" s="7" t="s">
        <v>1025</v>
      </c>
      <c r="B451" s="8" t="s">
        <v>1087</v>
      </c>
      <c r="C451" s="8" t="s">
        <v>1086</v>
      </c>
      <c r="D451" s="7" t="n">
        <v>1</v>
      </c>
      <c r="E451" s="15" t="s">
        <v>1085</v>
      </c>
      <c r="F451" s="15"/>
      <c r="G451" s="15"/>
    </row>
    <row r="452" customFormat="false" ht="15" hidden="false" customHeight="false" outlineLevel="0" collapsed="false">
      <c r="A452" s="7" t="s">
        <v>1025</v>
      </c>
      <c r="B452" s="8" t="s">
        <v>1781</v>
      </c>
      <c r="C452" s="8" t="s">
        <v>1780</v>
      </c>
      <c r="D452" s="7" t="n">
        <v>1</v>
      </c>
      <c r="E452" s="15" t="s">
        <v>1779</v>
      </c>
      <c r="F452" s="15"/>
      <c r="G452" s="15"/>
    </row>
    <row r="453" customFormat="false" ht="15" hidden="false" customHeight="false" outlineLevel="0" collapsed="false">
      <c r="A453" s="7" t="s">
        <v>1025</v>
      </c>
      <c r="B453" s="8" t="s">
        <v>1043</v>
      </c>
      <c r="C453" s="8" t="s">
        <v>1041</v>
      </c>
      <c r="D453" s="7" t="n">
        <v>1</v>
      </c>
      <c r="E453" s="15" t="s">
        <v>1038</v>
      </c>
      <c r="F453" s="13" t="s">
        <v>1044</v>
      </c>
      <c r="G453" s="14"/>
    </row>
    <row r="454" customFormat="false" ht="15" hidden="false" customHeight="false" outlineLevel="0" collapsed="false">
      <c r="A454" s="7" t="s">
        <v>1025</v>
      </c>
      <c r="B454" s="8" t="s">
        <v>1526</v>
      </c>
      <c r="C454" s="8" t="s">
        <v>1525</v>
      </c>
      <c r="D454" s="7" t="n">
        <v>1</v>
      </c>
      <c r="E454" s="15" t="s">
        <v>1524</v>
      </c>
      <c r="F454" s="15"/>
      <c r="G454" s="15"/>
    </row>
    <row r="455" customFormat="false" ht="15" hidden="false" customHeight="false" outlineLevel="0" collapsed="false">
      <c r="A455" s="7" t="s">
        <v>1025</v>
      </c>
      <c r="B455" s="8" t="s">
        <v>1814</v>
      </c>
      <c r="C455" s="8" t="s">
        <v>1812</v>
      </c>
      <c r="D455" s="7" t="n">
        <v>1</v>
      </c>
      <c r="E455" s="15" t="s">
        <v>1811</v>
      </c>
      <c r="F455" s="15"/>
      <c r="G455" s="15"/>
    </row>
    <row r="456" customFormat="false" ht="15" hidden="false" customHeight="false" outlineLevel="0" collapsed="false">
      <c r="A456" s="7" t="s">
        <v>1025</v>
      </c>
      <c r="B456" s="8" t="s">
        <v>1211</v>
      </c>
      <c r="C456" s="8" t="s">
        <v>1210</v>
      </c>
      <c r="D456" s="7" t="n">
        <v>1</v>
      </c>
      <c r="E456" s="15" t="s">
        <v>1209</v>
      </c>
      <c r="F456" s="15"/>
      <c r="G456" s="15"/>
    </row>
    <row r="457" customFormat="false" ht="15" hidden="false" customHeight="false" outlineLevel="0" collapsed="false">
      <c r="A457" s="7" t="s">
        <v>1025</v>
      </c>
      <c r="B457" s="8" t="s">
        <v>1745</v>
      </c>
      <c r="C457" s="8" t="s">
        <v>1743</v>
      </c>
      <c r="D457" s="7" t="n">
        <v>1</v>
      </c>
      <c r="E457" s="15" t="s">
        <v>1742</v>
      </c>
      <c r="F457" s="15"/>
      <c r="G457" s="15"/>
    </row>
    <row r="458" customFormat="false" ht="15" hidden="false" customHeight="false" outlineLevel="0" collapsed="false">
      <c r="A458" s="7" t="s">
        <v>1025</v>
      </c>
      <c r="B458" s="8" t="s">
        <v>1125</v>
      </c>
      <c r="C458" s="8" t="s">
        <v>1124</v>
      </c>
      <c r="D458" s="7" t="n">
        <v>1</v>
      </c>
      <c r="E458" s="15" t="s">
        <v>1123</v>
      </c>
      <c r="F458" s="15"/>
      <c r="G458" s="15"/>
    </row>
    <row r="459" customFormat="false" ht="15" hidden="false" customHeight="false" outlineLevel="0" collapsed="false">
      <c r="A459" s="7" t="s">
        <v>1025</v>
      </c>
      <c r="B459" s="8" t="s">
        <v>1513</v>
      </c>
      <c r="C459" s="8" t="s">
        <v>1512</v>
      </c>
      <c r="D459" s="7" t="n">
        <v>1</v>
      </c>
      <c r="E459" s="15" t="s">
        <v>1511</v>
      </c>
      <c r="F459" s="15"/>
      <c r="G459" s="15"/>
    </row>
    <row r="460" customFormat="false" ht="15" hidden="false" customHeight="false" outlineLevel="0" collapsed="false">
      <c r="A460" s="7" t="s">
        <v>1025</v>
      </c>
      <c r="B460" s="8" t="s">
        <v>1601</v>
      </c>
      <c r="C460" s="8" t="s">
        <v>1600</v>
      </c>
      <c r="D460" s="7" t="n">
        <v>1</v>
      </c>
      <c r="E460" s="15" t="s">
        <v>1599</v>
      </c>
      <c r="F460" s="15"/>
      <c r="G460" s="15"/>
    </row>
    <row r="461" customFormat="false" ht="15" hidden="false" customHeight="false" outlineLevel="0" collapsed="false">
      <c r="A461" s="7" t="s">
        <v>1025</v>
      </c>
      <c r="B461" s="8" t="s">
        <v>1784</v>
      </c>
      <c r="C461" s="8" t="s">
        <v>1783</v>
      </c>
      <c r="D461" s="7" t="n">
        <v>1</v>
      </c>
      <c r="E461" s="15" t="s">
        <v>1782</v>
      </c>
      <c r="F461" s="15"/>
      <c r="G461" s="15"/>
    </row>
    <row r="462" customFormat="false" ht="15" hidden="false" customHeight="false" outlineLevel="0" collapsed="false">
      <c r="A462" s="7" t="s">
        <v>1025</v>
      </c>
      <c r="B462" s="8" t="s">
        <v>1556</v>
      </c>
      <c r="C462" s="8" t="s">
        <v>1554</v>
      </c>
      <c r="D462" s="7" t="n">
        <v>1</v>
      </c>
      <c r="E462" s="15" t="s">
        <v>1553</v>
      </c>
      <c r="F462" s="15"/>
      <c r="G462" s="15"/>
    </row>
    <row r="463" customFormat="false" ht="15" hidden="false" customHeight="false" outlineLevel="0" collapsed="false">
      <c r="A463" s="7" t="s">
        <v>1025</v>
      </c>
      <c r="B463" s="8" t="s">
        <v>1907</v>
      </c>
      <c r="C463" s="8" t="s">
        <v>1906</v>
      </c>
      <c r="D463" s="7" t="n">
        <v>1</v>
      </c>
      <c r="E463" s="15" t="s">
        <v>1905</v>
      </c>
      <c r="F463" s="15"/>
      <c r="G463" s="15"/>
    </row>
    <row r="464" customFormat="false" ht="15" hidden="false" customHeight="false" outlineLevel="0" collapsed="false">
      <c r="A464" s="7" t="s">
        <v>1025</v>
      </c>
      <c r="B464" s="8" t="s">
        <v>1376</v>
      </c>
      <c r="C464" s="8" t="s">
        <v>1375</v>
      </c>
      <c r="D464" s="7" t="n">
        <v>2</v>
      </c>
      <c r="E464" s="15" t="s">
        <v>2772</v>
      </c>
      <c r="F464" s="13" t="s">
        <v>87</v>
      </c>
      <c r="G464" s="14"/>
    </row>
    <row r="465" customFormat="false" ht="15" hidden="false" customHeight="false" outlineLevel="0" collapsed="false">
      <c r="A465" s="7" t="s">
        <v>1025</v>
      </c>
      <c r="B465" s="8" t="s">
        <v>1192</v>
      </c>
      <c r="C465" s="8" t="s">
        <v>1191</v>
      </c>
      <c r="D465" s="7" t="n">
        <v>1</v>
      </c>
      <c r="E465" s="15" t="s">
        <v>1190</v>
      </c>
      <c r="F465" s="15"/>
      <c r="G465" s="15"/>
    </row>
    <row r="466" customFormat="false" ht="15" hidden="false" customHeight="false" outlineLevel="0" collapsed="false">
      <c r="A466" s="7" t="s">
        <v>1025</v>
      </c>
      <c r="B466" s="8" t="s">
        <v>1373</v>
      </c>
      <c r="C466" s="8" t="s">
        <v>1371</v>
      </c>
      <c r="D466" s="7" t="n">
        <v>1</v>
      </c>
      <c r="E466" s="15" t="s">
        <v>1370</v>
      </c>
      <c r="F466" s="15"/>
      <c r="G466" s="15"/>
    </row>
    <row r="467" customFormat="false" ht="29.85" hidden="false" customHeight="false" outlineLevel="0" collapsed="false">
      <c r="A467" s="7" t="s">
        <v>1025</v>
      </c>
      <c r="B467" s="8" t="s">
        <v>44</v>
      </c>
      <c r="C467" s="8" t="s">
        <v>43</v>
      </c>
      <c r="D467" s="7" t="n">
        <v>1</v>
      </c>
      <c r="E467" s="15" t="s">
        <v>1614</v>
      </c>
      <c r="F467" s="13" t="s">
        <v>45</v>
      </c>
      <c r="G467" s="14" t="s">
        <v>46</v>
      </c>
    </row>
    <row r="468" customFormat="false" ht="15" hidden="false" customHeight="false" outlineLevel="0" collapsed="false">
      <c r="A468" s="7" t="s">
        <v>1025</v>
      </c>
      <c r="B468" s="8" t="s">
        <v>1435</v>
      </c>
      <c r="C468" s="8" t="s">
        <v>1434</v>
      </c>
      <c r="D468" s="7" t="n">
        <v>2</v>
      </c>
      <c r="E468" s="15" t="s">
        <v>2773</v>
      </c>
      <c r="F468" s="13" t="s">
        <v>87</v>
      </c>
      <c r="G468" s="14"/>
    </row>
    <row r="469" customFormat="false" ht="15" hidden="false" customHeight="false" outlineLevel="0" collapsed="false">
      <c r="A469" s="7" t="s">
        <v>1025</v>
      </c>
      <c r="B469" s="8" t="s">
        <v>1956</v>
      </c>
      <c r="C469" s="8" t="s">
        <v>1954</v>
      </c>
      <c r="D469" s="7" t="n">
        <v>1</v>
      </c>
      <c r="E469" s="15" t="s">
        <v>1953</v>
      </c>
      <c r="F469" s="15"/>
      <c r="G469" s="15"/>
    </row>
    <row r="470" customFormat="false" ht="15" hidden="false" customHeight="false" outlineLevel="0" collapsed="false">
      <c r="A470" s="7" t="s">
        <v>1025</v>
      </c>
      <c r="B470" s="8" t="s">
        <v>1189</v>
      </c>
      <c r="C470" s="8" t="s">
        <v>1188</v>
      </c>
      <c r="D470" s="7" t="n">
        <v>1</v>
      </c>
      <c r="E470" s="15" t="s">
        <v>1187</v>
      </c>
      <c r="F470" s="15"/>
      <c r="G470" s="15"/>
    </row>
    <row r="471" customFormat="false" ht="15" hidden="false" customHeight="false" outlineLevel="0" collapsed="false">
      <c r="A471" s="7" t="s">
        <v>1025</v>
      </c>
      <c r="B471" s="8" t="s">
        <v>1214</v>
      </c>
      <c r="C471" s="8" t="s">
        <v>1213</v>
      </c>
      <c r="D471" s="7" t="n">
        <v>1</v>
      </c>
      <c r="E471" s="15" t="s">
        <v>1212</v>
      </c>
      <c r="F471" s="15"/>
      <c r="G471" s="15"/>
    </row>
    <row r="472" customFormat="false" ht="15" hidden="false" customHeight="false" outlineLevel="0" collapsed="false">
      <c r="A472" s="7" t="s">
        <v>1025</v>
      </c>
      <c r="B472" s="8" t="s">
        <v>1116</v>
      </c>
      <c r="C472" s="8" t="s">
        <v>1115</v>
      </c>
      <c r="D472" s="7" t="n">
        <v>1</v>
      </c>
      <c r="E472" s="15" t="s">
        <v>1112</v>
      </c>
      <c r="F472" s="15"/>
      <c r="G472" s="15"/>
    </row>
    <row r="473" customFormat="false" ht="15" hidden="false" customHeight="false" outlineLevel="0" collapsed="false">
      <c r="A473" s="7" t="s">
        <v>1025</v>
      </c>
      <c r="B473" s="8" t="s">
        <v>1741</v>
      </c>
      <c r="C473" s="8" t="s">
        <v>1740</v>
      </c>
      <c r="D473" s="7" t="n">
        <v>1</v>
      </c>
      <c r="E473" s="15" t="s">
        <v>1739</v>
      </c>
      <c r="F473" s="15"/>
      <c r="G473" s="15"/>
    </row>
    <row r="474" customFormat="false" ht="15" hidden="false" customHeight="false" outlineLevel="0" collapsed="false">
      <c r="A474" s="7" t="s">
        <v>1025</v>
      </c>
      <c r="B474" s="8" t="s">
        <v>1486</v>
      </c>
      <c r="C474" s="8" t="s">
        <v>1485</v>
      </c>
      <c r="D474" s="7" t="n">
        <v>1</v>
      </c>
      <c r="E474" s="15" t="s">
        <v>1482</v>
      </c>
      <c r="F474" s="15"/>
      <c r="G474" s="15"/>
    </row>
    <row r="475" customFormat="false" ht="15" hidden="false" customHeight="false" outlineLevel="0" collapsed="false">
      <c r="A475" s="7" t="s">
        <v>1025</v>
      </c>
      <c r="B475" s="8" t="s">
        <v>1829</v>
      </c>
      <c r="C475" s="8" t="s">
        <v>1828</v>
      </c>
      <c r="D475" s="7" t="n">
        <v>1</v>
      </c>
      <c r="E475" s="15" t="s">
        <v>1827</v>
      </c>
      <c r="F475" s="15"/>
      <c r="G475" s="15"/>
    </row>
    <row r="476" customFormat="false" ht="15" hidden="false" customHeight="false" outlineLevel="0" collapsed="false">
      <c r="A476" s="7" t="s">
        <v>1025</v>
      </c>
      <c r="B476" s="8" t="s">
        <v>1499</v>
      </c>
      <c r="C476" s="8" t="s">
        <v>1498</v>
      </c>
      <c r="D476" s="7" t="n">
        <v>1</v>
      </c>
      <c r="E476" s="15" t="s">
        <v>1497</v>
      </c>
      <c r="F476" s="15"/>
      <c r="G476" s="15"/>
    </row>
    <row r="477" customFormat="false" ht="15" hidden="false" customHeight="false" outlineLevel="0" collapsed="false">
      <c r="A477" s="7" t="s">
        <v>1025</v>
      </c>
      <c r="B477" s="8" t="s">
        <v>1769</v>
      </c>
      <c r="C477" s="8" t="s">
        <v>1768</v>
      </c>
      <c r="D477" s="7" t="n">
        <v>1</v>
      </c>
      <c r="E477" s="15" t="s">
        <v>1767</v>
      </c>
      <c r="F477" s="15"/>
      <c r="G477" s="15"/>
    </row>
    <row r="478" customFormat="false" ht="15" hidden="false" customHeight="false" outlineLevel="0" collapsed="false">
      <c r="A478" s="7" t="s">
        <v>1025</v>
      </c>
      <c r="B478" s="8" t="s">
        <v>1942</v>
      </c>
      <c r="C478" s="8" t="s">
        <v>1941</v>
      </c>
      <c r="D478" s="7" t="n">
        <v>1</v>
      </c>
      <c r="E478" s="15" t="s">
        <v>1940</v>
      </c>
      <c r="F478" s="15"/>
      <c r="G478" s="15"/>
    </row>
    <row r="479" customFormat="false" ht="15" hidden="false" customHeight="false" outlineLevel="0" collapsed="false">
      <c r="A479" s="7" t="s">
        <v>1025</v>
      </c>
      <c r="B479" s="8" t="s">
        <v>1825</v>
      </c>
      <c r="C479" s="8" t="s">
        <v>1824</v>
      </c>
      <c r="D479" s="7" t="n">
        <v>2</v>
      </c>
      <c r="E479" s="15" t="s">
        <v>2774</v>
      </c>
      <c r="F479" s="13" t="s">
        <v>87</v>
      </c>
      <c r="G479" s="14"/>
    </row>
    <row r="480" customFormat="false" ht="15" hidden="false" customHeight="false" outlineLevel="0" collapsed="false">
      <c r="A480" s="7" t="s">
        <v>1025</v>
      </c>
      <c r="B480" s="8" t="s">
        <v>1490</v>
      </c>
      <c r="C480" s="8" t="s">
        <v>1489</v>
      </c>
      <c r="D480" s="7" t="n">
        <v>1</v>
      </c>
      <c r="E480" s="15" t="s">
        <v>1488</v>
      </c>
      <c r="F480" s="15"/>
      <c r="G480" s="15"/>
    </row>
    <row r="481" customFormat="false" ht="15" hidden="false" customHeight="false" outlineLevel="0" collapsed="false">
      <c r="A481" s="7" t="s">
        <v>1025</v>
      </c>
      <c r="B481" s="8" t="s">
        <v>1453</v>
      </c>
      <c r="C481" s="8" t="s">
        <v>1452</v>
      </c>
      <c r="D481" s="7" t="n">
        <v>3</v>
      </c>
      <c r="E481" s="15" t="s">
        <v>2775</v>
      </c>
      <c r="F481" s="13" t="s">
        <v>87</v>
      </c>
      <c r="G481" s="14"/>
    </row>
    <row r="482" customFormat="false" ht="15" hidden="false" customHeight="false" outlineLevel="0" collapsed="false">
      <c r="A482" s="7" t="s">
        <v>1025</v>
      </c>
      <c r="B482" s="8" t="s">
        <v>1388</v>
      </c>
      <c r="C482" s="8" t="s">
        <v>1387</v>
      </c>
      <c r="D482" s="7" t="n">
        <v>2</v>
      </c>
      <c r="E482" s="15" t="s">
        <v>2776</v>
      </c>
      <c r="F482" s="13" t="s">
        <v>87</v>
      </c>
      <c r="G482" s="14"/>
    </row>
    <row r="483" customFormat="false" ht="15" hidden="false" customHeight="false" outlineLevel="0" collapsed="false">
      <c r="A483" s="7" t="s">
        <v>1025</v>
      </c>
      <c r="B483" s="8" t="s">
        <v>1223</v>
      </c>
      <c r="C483" s="8" t="s">
        <v>1222</v>
      </c>
      <c r="D483" s="7" t="n">
        <v>1</v>
      </c>
      <c r="E483" s="15" t="s">
        <v>1221</v>
      </c>
      <c r="F483" s="15"/>
      <c r="G483" s="15"/>
    </row>
    <row r="484" customFormat="false" ht="15" hidden="false" customHeight="false" outlineLevel="0" collapsed="false">
      <c r="A484" s="7" t="s">
        <v>1025</v>
      </c>
      <c r="B484" s="8" t="s">
        <v>1247</v>
      </c>
      <c r="C484" s="8" t="s">
        <v>1246</v>
      </c>
      <c r="D484" s="7" t="n">
        <v>1</v>
      </c>
      <c r="E484" s="15" t="s">
        <v>1245</v>
      </c>
      <c r="F484" s="15"/>
      <c r="G484" s="15"/>
    </row>
    <row r="485" customFormat="false" ht="15" hidden="false" customHeight="false" outlineLevel="0" collapsed="false">
      <c r="A485" s="7" t="s">
        <v>1025</v>
      </c>
      <c r="B485" s="8" t="s">
        <v>1777</v>
      </c>
      <c r="C485" s="8" t="s">
        <v>1776</v>
      </c>
      <c r="D485" s="7" t="n">
        <v>1</v>
      </c>
      <c r="E485" s="15" t="s">
        <v>1775</v>
      </c>
      <c r="F485" s="15"/>
      <c r="G485" s="15"/>
    </row>
    <row r="486" customFormat="false" ht="15" hidden="false" customHeight="false" outlineLevel="0" collapsed="false">
      <c r="A486" s="7" t="s">
        <v>1025</v>
      </c>
      <c r="B486" s="8" t="s">
        <v>1256</v>
      </c>
      <c r="C486" s="8" t="s">
        <v>1255</v>
      </c>
      <c r="D486" s="7" t="n">
        <v>1</v>
      </c>
      <c r="E486" s="15" t="s">
        <v>1254</v>
      </c>
      <c r="F486" s="15"/>
      <c r="G486" s="15"/>
    </row>
    <row r="487" customFormat="false" ht="15" hidden="false" customHeight="false" outlineLevel="0" collapsed="false">
      <c r="A487" s="7" t="s">
        <v>1025</v>
      </c>
      <c r="B487" s="8" t="s">
        <v>1822</v>
      </c>
      <c r="C487" s="8" t="s">
        <v>1820</v>
      </c>
      <c r="D487" s="7" t="n">
        <v>1</v>
      </c>
      <c r="E487" s="15" t="s">
        <v>1819</v>
      </c>
      <c r="F487" s="13" t="s">
        <v>74</v>
      </c>
      <c r="G487" s="14"/>
    </row>
    <row r="488" customFormat="false" ht="15" hidden="false" customHeight="false" outlineLevel="0" collapsed="false">
      <c r="A488" s="7" t="s">
        <v>1025</v>
      </c>
      <c r="B488" s="8" t="s">
        <v>1382</v>
      </c>
      <c r="C488" s="8" t="s">
        <v>1381</v>
      </c>
      <c r="D488" s="7" t="n">
        <v>2</v>
      </c>
      <c r="E488" s="15" t="s">
        <v>2777</v>
      </c>
      <c r="F488" s="13" t="s">
        <v>87</v>
      </c>
      <c r="G488" s="14"/>
    </row>
    <row r="489" customFormat="false" ht="15" hidden="false" customHeight="false" outlineLevel="0" collapsed="false">
      <c r="A489" s="7" t="s">
        <v>1025</v>
      </c>
      <c r="B489" s="8" t="s">
        <v>1833</v>
      </c>
      <c r="C489" s="8" t="s">
        <v>1831</v>
      </c>
      <c r="D489" s="7" t="n">
        <v>1</v>
      </c>
      <c r="E489" s="15" t="s">
        <v>1830</v>
      </c>
      <c r="F489" s="15"/>
      <c r="G489" s="15"/>
    </row>
    <row r="490" customFormat="false" ht="15" hidden="false" customHeight="false" outlineLevel="0" collapsed="false">
      <c r="A490" s="7" t="s">
        <v>1025</v>
      </c>
      <c r="B490" s="8" t="s">
        <v>1379</v>
      </c>
      <c r="C490" s="8" t="s">
        <v>1378</v>
      </c>
      <c r="D490" s="7" t="n">
        <v>1</v>
      </c>
      <c r="E490" s="15" t="s">
        <v>1377</v>
      </c>
      <c r="F490" s="15"/>
      <c r="G490" s="15"/>
    </row>
    <row r="491" customFormat="false" ht="15" hidden="false" customHeight="false" outlineLevel="0" collapsed="false">
      <c r="A491" s="7" t="s">
        <v>1025</v>
      </c>
      <c r="B491" s="8" t="s">
        <v>1871</v>
      </c>
      <c r="C491" s="8" t="s">
        <v>1869</v>
      </c>
      <c r="D491" s="7" t="n">
        <v>3</v>
      </c>
      <c r="E491" s="15" t="s">
        <v>2778</v>
      </c>
      <c r="F491" s="13" t="s">
        <v>87</v>
      </c>
      <c r="G491" s="14"/>
    </row>
    <row r="492" customFormat="false" ht="15" hidden="false" customHeight="false" outlineLevel="0" collapsed="false">
      <c r="A492" s="7" t="s">
        <v>1025</v>
      </c>
      <c r="B492" s="8" t="s">
        <v>1448</v>
      </c>
      <c r="C492" s="8" t="s">
        <v>1447</v>
      </c>
      <c r="D492" s="7" t="n">
        <v>1</v>
      </c>
      <c r="E492" s="15" t="s">
        <v>1446</v>
      </c>
      <c r="F492" s="13" t="s">
        <v>1204</v>
      </c>
      <c r="G492" s="14" t="s">
        <v>1449</v>
      </c>
    </row>
    <row r="493" customFormat="false" ht="15" hidden="false" customHeight="false" outlineLevel="0" collapsed="false">
      <c r="A493" s="7" t="s">
        <v>1025</v>
      </c>
      <c r="B493" s="8" t="s">
        <v>1304</v>
      </c>
      <c r="C493" s="8" t="s">
        <v>1303</v>
      </c>
      <c r="D493" s="7" t="n">
        <v>1</v>
      </c>
      <c r="E493" s="15" t="s">
        <v>1302</v>
      </c>
      <c r="F493" s="15"/>
      <c r="G493" s="15"/>
    </row>
    <row r="494" customFormat="false" ht="15" hidden="false" customHeight="false" outlineLevel="0" collapsed="false">
      <c r="A494" s="7" t="s">
        <v>1025</v>
      </c>
      <c r="B494" s="8" t="s">
        <v>1165</v>
      </c>
      <c r="C494" s="8" t="s">
        <v>1163</v>
      </c>
      <c r="D494" s="7" t="n">
        <v>1</v>
      </c>
      <c r="E494" s="15" t="s">
        <v>1162</v>
      </c>
      <c r="F494" s="15"/>
      <c r="G494" s="15"/>
    </row>
    <row r="495" customFormat="false" ht="15" hidden="false" customHeight="false" outlineLevel="0" collapsed="false">
      <c r="A495" s="7" t="s">
        <v>1025</v>
      </c>
      <c r="B495" s="8" t="s">
        <v>1047</v>
      </c>
      <c r="C495" s="8" t="s">
        <v>1046</v>
      </c>
      <c r="D495" s="7" t="n">
        <v>3</v>
      </c>
      <c r="E495" s="15" t="s">
        <v>2779</v>
      </c>
      <c r="F495" s="13" t="s">
        <v>87</v>
      </c>
      <c r="G495" s="14"/>
    </row>
    <row r="496" customFormat="false" ht="15" hidden="false" customHeight="false" outlineLevel="0" collapsed="false">
      <c r="A496" s="7" t="s">
        <v>1025</v>
      </c>
      <c r="B496" s="8" t="s">
        <v>1268</v>
      </c>
      <c r="C496" s="8" t="s">
        <v>1267</v>
      </c>
      <c r="D496" s="7" t="n">
        <v>1</v>
      </c>
      <c r="E496" s="15" t="s">
        <v>1266</v>
      </c>
      <c r="F496" s="15"/>
      <c r="G496" s="15"/>
    </row>
    <row r="497" customFormat="false" ht="15" hidden="false" customHeight="false" outlineLevel="0" collapsed="false">
      <c r="A497" s="7" t="s">
        <v>1025</v>
      </c>
      <c r="B497" s="8" t="s">
        <v>1037</v>
      </c>
      <c r="C497" s="8" t="s">
        <v>1036</v>
      </c>
      <c r="D497" s="7" t="n">
        <v>2</v>
      </c>
      <c r="E497" s="15" t="s">
        <v>2780</v>
      </c>
      <c r="F497" s="13" t="s">
        <v>87</v>
      </c>
      <c r="G497" s="14"/>
    </row>
    <row r="498" customFormat="false" ht="15" hidden="false" customHeight="false" outlineLevel="0" collapsed="false">
      <c r="A498" s="7" t="s">
        <v>1025</v>
      </c>
      <c r="B498" s="8" t="s">
        <v>1119</v>
      </c>
      <c r="C498" s="8" t="s">
        <v>1118</v>
      </c>
      <c r="D498" s="7" t="n">
        <v>2</v>
      </c>
      <c r="E498" s="15" t="s">
        <v>2781</v>
      </c>
      <c r="F498" s="13" t="s">
        <v>87</v>
      </c>
      <c r="G498" s="14"/>
    </row>
    <row r="499" customFormat="false" ht="15" hidden="false" customHeight="false" outlineLevel="0" collapsed="false">
      <c r="A499" s="7" t="s">
        <v>1025</v>
      </c>
      <c r="B499" s="8" t="s">
        <v>1053</v>
      </c>
      <c r="C499" s="8" t="s">
        <v>1052</v>
      </c>
      <c r="D499" s="7" t="n">
        <v>2</v>
      </c>
      <c r="E499" s="15" t="s">
        <v>2782</v>
      </c>
      <c r="F499" s="13" t="s">
        <v>87</v>
      </c>
      <c r="G499" s="14"/>
    </row>
    <row r="500" customFormat="false" ht="15" hidden="false" customHeight="false" outlineLevel="0" collapsed="false">
      <c r="A500" s="7" t="s">
        <v>1025</v>
      </c>
      <c r="B500" s="8" t="s">
        <v>1315</v>
      </c>
      <c r="C500" s="8" t="s">
        <v>1314</v>
      </c>
      <c r="D500" s="7" t="n">
        <v>2</v>
      </c>
      <c r="E500" s="15" t="s">
        <v>2783</v>
      </c>
      <c r="F500" s="13" t="s">
        <v>87</v>
      </c>
      <c r="G500" s="14" t="s">
        <v>1316</v>
      </c>
    </row>
    <row r="501" customFormat="false" ht="15" hidden="false" customHeight="false" outlineLevel="0" collapsed="false">
      <c r="A501" s="7" t="s">
        <v>1025</v>
      </c>
      <c r="B501" s="8" t="s">
        <v>1573</v>
      </c>
      <c r="C501" s="8" t="s">
        <v>1572</v>
      </c>
      <c r="D501" s="7" t="n">
        <v>1</v>
      </c>
      <c r="E501" s="15" t="s">
        <v>1571</v>
      </c>
      <c r="F501" s="15"/>
      <c r="G501" s="15"/>
    </row>
    <row r="502" customFormat="false" ht="15" hidden="false" customHeight="false" outlineLevel="0" collapsed="false">
      <c r="A502" s="7" t="s">
        <v>1025</v>
      </c>
      <c r="B502" s="8" t="s">
        <v>1130</v>
      </c>
      <c r="C502" s="8" t="s">
        <v>1129</v>
      </c>
      <c r="D502" s="7" t="n">
        <v>1</v>
      </c>
      <c r="E502" s="15" t="s">
        <v>1128</v>
      </c>
      <c r="F502" s="15"/>
      <c r="G502" s="15"/>
    </row>
    <row r="503" customFormat="false" ht="15" hidden="false" customHeight="false" outlineLevel="0" collapsed="false">
      <c r="A503" s="7" t="s">
        <v>1025</v>
      </c>
      <c r="B503" s="8" t="s">
        <v>1136</v>
      </c>
      <c r="C503" s="8" t="s">
        <v>1135</v>
      </c>
      <c r="D503" s="7" t="n">
        <v>1</v>
      </c>
      <c r="E503" s="15" t="s">
        <v>1134</v>
      </c>
      <c r="F503" s="14"/>
      <c r="G503" s="14" t="s">
        <v>1137</v>
      </c>
    </row>
    <row r="504" customFormat="false" ht="15" hidden="false" customHeight="false" outlineLevel="0" collapsed="false">
      <c r="A504" s="7" t="s">
        <v>1025</v>
      </c>
      <c r="B504" s="8" t="s">
        <v>1650</v>
      </c>
      <c r="C504" s="8" t="s">
        <v>1648</v>
      </c>
      <c r="D504" s="7" t="n">
        <v>1</v>
      </c>
      <c r="E504" s="15" t="s">
        <v>1647</v>
      </c>
      <c r="F504" s="13" t="s">
        <v>74</v>
      </c>
      <c r="G504" s="14"/>
    </row>
    <row r="505" customFormat="false" ht="15" hidden="false" customHeight="false" outlineLevel="0" collapsed="false">
      <c r="A505" s="7" t="s">
        <v>1025</v>
      </c>
      <c r="B505" s="8" t="s">
        <v>1276</v>
      </c>
      <c r="C505" s="8" t="s">
        <v>1275</v>
      </c>
      <c r="D505" s="7" t="n">
        <v>1</v>
      </c>
      <c r="E505" s="15" t="s">
        <v>1274</v>
      </c>
      <c r="F505" s="15"/>
      <c r="G505" s="15"/>
    </row>
    <row r="506" customFormat="false" ht="15" hidden="false" customHeight="false" outlineLevel="0" collapsed="false">
      <c r="A506" s="7" t="s">
        <v>1025</v>
      </c>
      <c r="B506" s="8" t="s">
        <v>1658</v>
      </c>
      <c r="C506" s="8" t="s">
        <v>1656</v>
      </c>
      <c r="D506" s="7" t="n">
        <v>1</v>
      </c>
      <c r="E506" s="15" t="s">
        <v>1655</v>
      </c>
      <c r="F506" s="13" t="s">
        <v>74</v>
      </c>
      <c r="G506" s="14"/>
    </row>
    <row r="507" customFormat="false" ht="15" hidden="false" customHeight="false" outlineLevel="0" collapsed="false">
      <c r="A507" s="7" t="s">
        <v>1025</v>
      </c>
      <c r="B507" s="8" t="s">
        <v>1567</v>
      </c>
      <c r="C507" s="8" t="s">
        <v>1566</v>
      </c>
      <c r="D507" s="7" t="n">
        <v>1</v>
      </c>
      <c r="E507" s="15" t="s">
        <v>1565</v>
      </c>
      <c r="F507" s="15"/>
      <c r="G507" s="15"/>
    </row>
    <row r="508" customFormat="false" ht="15" hidden="false" customHeight="false" outlineLevel="0" collapsed="false">
      <c r="A508" s="7" t="s">
        <v>1025</v>
      </c>
      <c r="B508" s="8" t="s">
        <v>1445</v>
      </c>
      <c r="C508" s="8" t="s">
        <v>1444</v>
      </c>
      <c r="D508" s="7" t="n">
        <v>2</v>
      </c>
      <c r="E508" s="15" t="s">
        <v>2784</v>
      </c>
      <c r="F508" s="13" t="s">
        <v>87</v>
      </c>
      <c r="G508" s="14"/>
    </row>
    <row r="509" customFormat="false" ht="15" hidden="false" customHeight="false" outlineLevel="0" collapsed="false">
      <c r="A509" s="7" t="s">
        <v>1025</v>
      </c>
      <c r="B509" s="8" t="s">
        <v>1564</v>
      </c>
      <c r="C509" s="8" t="s">
        <v>1562</v>
      </c>
      <c r="D509" s="7" t="n">
        <v>1</v>
      </c>
      <c r="E509" s="15" t="s">
        <v>1561</v>
      </c>
      <c r="F509" s="15"/>
      <c r="G509" s="15"/>
    </row>
    <row r="510" customFormat="false" ht="15" hidden="false" customHeight="false" outlineLevel="0" collapsed="false">
      <c r="A510" s="7" t="s">
        <v>1025</v>
      </c>
      <c r="B510" s="8" t="s">
        <v>1183</v>
      </c>
      <c r="C510" s="8" t="s">
        <v>1182</v>
      </c>
      <c r="D510" s="7" t="n">
        <v>1</v>
      </c>
      <c r="E510" s="15" t="s">
        <v>1181</v>
      </c>
      <c r="F510" s="15"/>
      <c r="G510" s="15"/>
    </row>
    <row r="511" customFormat="false" ht="15" hidden="false" customHeight="false" outlineLevel="0" collapsed="false">
      <c r="A511" s="7" t="s">
        <v>1025</v>
      </c>
      <c r="B511" s="8" t="s">
        <v>1620</v>
      </c>
      <c r="C511" s="8" t="s">
        <v>1619</v>
      </c>
      <c r="D511" s="7" t="n">
        <v>2</v>
      </c>
      <c r="E511" s="15" t="s">
        <v>2785</v>
      </c>
      <c r="F511" s="13" t="s">
        <v>87</v>
      </c>
      <c r="G511" s="14"/>
    </row>
    <row r="512" customFormat="false" ht="15" hidden="false" customHeight="false" outlineLevel="0" collapsed="false">
      <c r="A512" s="7" t="s">
        <v>1025</v>
      </c>
      <c r="B512" s="8" t="s">
        <v>1438</v>
      </c>
      <c r="C512" s="8" t="s">
        <v>1437</v>
      </c>
      <c r="D512" s="7" t="n">
        <v>1</v>
      </c>
      <c r="E512" s="15" t="s">
        <v>1436</v>
      </c>
      <c r="F512" s="15"/>
      <c r="G512" s="15"/>
    </row>
    <row r="513" customFormat="false" ht="15" hidden="false" customHeight="false" outlineLevel="0" collapsed="false">
      <c r="A513" s="7" t="s">
        <v>1025</v>
      </c>
      <c r="B513" s="8" t="s">
        <v>1265</v>
      </c>
      <c r="C513" s="8" t="s">
        <v>1264</v>
      </c>
      <c r="D513" s="7" t="n">
        <v>1</v>
      </c>
      <c r="E513" s="15" t="s">
        <v>1263</v>
      </c>
      <c r="F513" s="15"/>
      <c r="G513" s="15"/>
    </row>
    <row r="514" customFormat="false" ht="15" hidden="false" customHeight="false" outlineLevel="0" collapsed="false">
      <c r="A514" s="7" t="s">
        <v>1025</v>
      </c>
      <c r="B514" s="8" t="s">
        <v>1329</v>
      </c>
      <c r="C514" s="8" t="s">
        <v>1328</v>
      </c>
      <c r="D514" s="7" t="n">
        <v>1</v>
      </c>
      <c r="E514" s="15" t="s">
        <v>1327</v>
      </c>
      <c r="F514" s="15"/>
      <c r="G514" s="15"/>
    </row>
    <row r="515" customFormat="false" ht="15" hidden="false" customHeight="false" outlineLevel="0" collapsed="false">
      <c r="A515" s="7" t="s">
        <v>1025</v>
      </c>
      <c r="B515" s="8" t="s">
        <v>1521</v>
      </c>
      <c r="C515" s="8" t="s">
        <v>1520</v>
      </c>
      <c r="D515" s="7" t="n">
        <v>1</v>
      </c>
      <c r="E515" s="15" t="s">
        <v>1519</v>
      </c>
      <c r="F515" s="15"/>
      <c r="G515" s="15"/>
    </row>
    <row r="516" customFormat="false" ht="15" hidden="false" customHeight="false" outlineLevel="0" collapsed="false">
      <c r="A516" s="7" t="s">
        <v>1025</v>
      </c>
      <c r="B516" s="8" t="s">
        <v>1432</v>
      </c>
      <c r="C516" s="8" t="s">
        <v>1431</v>
      </c>
      <c r="D516" s="7" t="n">
        <v>1</v>
      </c>
      <c r="E516" s="15" t="s">
        <v>1430</v>
      </c>
      <c r="F516" s="15"/>
      <c r="G516" s="15"/>
    </row>
    <row r="517" customFormat="false" ht="15" hidden="false" customHeight="false" outlineLevel="0" collapsed="false">
      <c r="A517" s="7" t="s">
        <v>1025</v>
      </c>
      <c r="B517" s="8" t="s">
        <v>1552</v>
      </c>
      <c r="C517" s="8" t="s">
        <v>1551</v>
      </c>
      <c r="D517" s="7" t="n">
        <v>1</v>
      </c>
      <c r="E517" s="15" t="s">
        <v>1550</v>
      </c>
      <c r="F517" s="15"/>
      <c r="G517" s="15"/>
    </row>
    <row r="518" customFormat="false" ht="15" hidden="false" customHeight="false" outlineLevel="0" collapsed="false">
      <c r="A518" s="7" t="s">
        <v>1025</v>
      </c>
      <c r="B518" s="8" t="s">
        <v>1532</v>
      </c>
      <c r="C518" s="8" t="s">
        <v>1531</v>
      </c>
      <c r="D518" s="7" t="n">
        <v>1</v>
      </c>
      <c r="E518" s="15" t="s">
        <v>1530</v>
      </c>
      <c r="F518" s="15"/>
      <c r="G518" s="15"/>
    </row>
    <row r="519" customFormat="false" ht="15" hidden="false" customHeight="false" outlineLevel="0" collapsed="false">
      <c r="A519" s="7" t="s">
        <v>1025</v>
      </c>
      <c r="B519" s="8" t="s">
        <v>1050</v>
      </c>
      <c r="C519" s="8" t="s">
        <v>1049</v>
      </c>
      <c r="D519" s="7" t="n">
        <v>1</v>
      </c>
      <c r="E519" s="15" t="s">
        <v>1048</v>
      </c>
      <c r="F519" s="15"/>
      <c r="G519" s="15"/>
    </row>
    <row r="520" customFormat="false" ht="15" hidden="false" customHeight="false" outlineLevel="0" collapsed="false">
      <c r="A520" s="7" t="s">
        <v>1025</v>
      </c>
      <c r="B520" s="8" t="s">
        <v>1473</v>
      </c>
      <c r="C520" s="8" t="s">
        <v>1472</v>
      </c>
      <c r="D520" s="7" t="n">
        <v>1</v>
      </c>
      <c r="E520" s="15" t="s">
        <v>1471</v>
      </c>
      <c r="F520" s="13" t="s">
        <v>74</v>
      </c>
      <c r="G520" s="14"/>
    </row>
    <row r="521" customFormat="false" ht="15" hidden="false" customHeight="false" outlineLevel="0" collapsed="false">
      <c r="A521" s="7" t="s">
        <v>1025</v>
      </c>
      <c r="B521" s="8" t="s">
        <v>1297</v>
      </c>
      <c r="C521" s="8" t="s">
        <v>1296</v>
      </c>
      <c r="D521" s="7" t="n">
        <v>1</v>
      </c>
      <c r="E521" s="15" t="s">
        <v>1293</v>
      </c>
      <c r="F521" s="14"/>
      <c r="G521" s="13" t="s">
        <v>1298</v>
      </c>
    </row>
    <row r="522" customFormat="false" ht="15" hidden="false" customHeight="false" outlineLevel="0" collapsed="false">
      <c r="A522" s="7" t="s">
        <v>1025</v>
      </c>
      <c r="B522" s="8" t="s">
        <v>1712</v>
      </c>
      <c r="C522" s="8" t="s">
        <v>1710</v>
      </c>
      <c r="D522" s="7" t="n">
        <v>1</v>
      </c>
      <c r="E522" s="15" t="s">
        <v>1709</v>
      </c>
      <c r="F522" s="15"/>
      <c r="G522" s="15"/>
    </row>
    <row r="523" customFormat="false" ht="15" hidden="false" customHeight="false" outlineLevel="0" collapsed="false">
      <c r="A523" s="7" t="s">
        <v>1025</v>
      </c>
      <c r="B523" s="8" t="s">
        <v>1786</v>
      </c>
      <c r="C523" s="8" t="s">
        <v>1785</v>
      </c>
      <c r="D523" s="7" t="n">
        <v>1</v>
      </c>
      <c r="E523" s="15" t="s">
        <v>1782</v>
      </c>
      <c r="F523" s="15"/>
      <c r="G523" s="15"/>
    </row>
    <row r="524" customFormat="false" ht="15" hidden="false" customHeight="false" outlineLevel="0" collapsed="false">
      <c r="A524" s="7" t="s">
        <v>1025</v>
      </c>
      <c r="B524" s="8" t="s">
        <v>1755</v>
      </c>
      <c r="C524" s="8" t="s">
        <v>1754</v>
      </c>
      <c r="D524" s="7" t="n">
        <v>2</v>
      </c>
      <c r="E524" s="15" t="s">
        <v>2786</v>
      </c>
      <c r="F524" s="13" t="s">
        <v>87</v>
      </c>
      <c r="G524" s="14"/>
    </row>
    <row r="525" customFormat="false" ht="15" hidden="false" customHeight="false" outlineLevel="0" collapsed="false">
      <c r="A525" s="7" t="s">
        <v>1025</v>
      </c>
      <c r="B525" s="8" t="s">
        <v>1084</v>
      </c>
      <c r="C525" s="8" t="s">
        <v>1083</v>
      </c>
      <c r="D525" s="7" t="n">
        <v>1</v>
      </c>
      <c r="E525" s="15" t="s">
        <v>1082</v>
      </c>
      <c r="F525" s="13" t="s">
        <v>74</v>
      </c>
      <c r="G525" s="14"/>
    </row>
    <row r="526" customFormat="false" ht="15" hidden="false" customHeight="false" outlineLevel="0" collapsed="false">
      <c r="A526" s="7" t="s">
        <v>1025</v>
      </c>
      <c r="B526" s="8" t="s">
        <v>1936</v>
      </c>
      <c r="C526" s="8" t="s">
        <v>1935</v>
      </c>
      <c r="D526" s="7" t="n">
        <v>1</v>
      </c>
      <c r="E526" s="15" t="s">
        <v>1934</v>
      </c>
      <c r="F526" s="15"/>
      <c r="G526" s="15"/>
    </row>
    <row r="527" customFormat="false" ht="15" hidden="false" customHeight="false" outlineLevel="0" collapsed="false">
      <c r="A527" s="7" t="s">
        <v>1025</v>
      </c>
      <c r="B527" s="8" t="s">
        <v>1752</v>
      </c>
      <c r="C527" s="8" t="s">
        <v>1751</v>
      </c>
      <c r="D527" s="7" t="n">
        <v>1</v>
      </c>
      <c r="E527" s="15" t="s">
        <v>1750</v>
      </c>
      <c r="F527" s="15"/>
      <c r="G527" s="15"/>
    </row>
    <row r="528" customFormat="false" ht="15" hidden="false" customHeight="false" outlineLevel="0" collapsed="false">
      <c r="A528" s="7" t="s">
        <v>1025</v>
      </c>
      <c r="B528" s="8" t="s">
        <v>1963</v>
      </c>
      <c r="C528" s="8" t="s">
        <v>1962</v>
      </c>
      <c r="D528" s="7" t="n">
        <v>1</v>
      </c>
      <c r="E528" s="15" t="s">
        <v>1961</v>
      </c>
      <c r="F528" s="15"/>
      <c r="G528" s="15"/>
    </row>
    <row r="529" customFormat="false" ht="15" hidden="false" customHeight="false" outlineLevel="0" collapsed="false">
      <c r="A529" s="7" t="s">
        <v>1025</v>
      </c>
      <c r="B529" s="8" t="s">
        <v>1031</v>
      </c>
      <c r="C529" s="8" t="s">
        <v>1030</v>
      </c>
      <c r="D529" s="7" t="n">
        <v>1</v>
      </c>
      <c r="E529" s="15" t="s">
        <v>1029</v>
      </c>
      <c r="F529" s="15"/>
      <c r="G529" s="15"/>
    </row>
    <row r="530" customFormat="false" ht="15" hidden="false" customHeight="false" outlineLevel="0" collapsed="false">
      <c r="A530" s="7" t="s">
        <v>1025</v>
      </c>
      <c r="B530" s="8" t="s">
        <v>1394</v>
      </c>
      <c r="C530" s="8" t="s">
        <v>1393</v>
      </c>
      <c r="D530" s="7" t="n">
        <v>1</v>
      </c>
      <c r="E530" s="15" t="s">
        <v>1392</v>
      </c>
      <c r="F530" s="15"/>
      <c r="G530" s="15"/>
    </row>
    <row r="531" customFormat="false" ht="15" hidden="false" customHeight="false" outlineLevel="0" collapsed="false">
      <c r="A531" s="7" t="s">
        <v>1025</v>
      </c>
      <c r="B531" s="8" t="s">
        <v>1606</v>
      </c>
      <c r="C531" s="8" t="s">
        <v>1605</v>
      </c>
      <c r="D531" s="7" t="n">
        <v>1</v>
      </c>
      <c r="E531" s="15" t="s">
        <v>1604</v>
      </c>
      <c r="F531" s="15"/>
      <c r="G531" s="15"/>
    </row>
    <row r="532" customFormat="false" ht="15" hidden="false" customHeight="false" outlineLevel="0" collapsed="false">
      <c r="A532" s="7" t="s">
        <v>1025</v>
      </c>
      <c r="B532" s="8" t="s">
        <v>1114</v>
      </c>
      <c r="C532" s="8" t="s">
        <v>1113</v>
      </c>
      <c r="D532" s="7" t="n">
        <v>1</v>
      </c>
      <c r="E532" s="15" t="s">
        <v>1112</v>
      </c>
      <c r="F532" s="15"/>
      <c r="G532" s="15"/>
    </row>
    <row r="533" customFormat="false" ht="15" hidden="false" customHeight="false" outlineLevel="0" collapsed="false">
      <c r="A533" s="7" t="s">
        <v>1025</v>
      </c>
      <c r="B533" s="8" t="s">
        <v>1151</v>
      </c>
      <c r="C533" s="8" t="s">
        <v>1149</v>
      </c>
      <c r="D533" s="7" t="n">
        <v>1</v>
      </c>
      <c r="E533" s="15" t="s">
        <v>1148</v>
      </c>
      <c r="F533" s="15"/>
      <c r="G533" s="15"/>
    </row>
    <row r="534" customFormat="false" ht="15" hidden="false" customHeight="false" outlineLevel="0" collapsed="false">
      <c r="A534" s="7" t="s">
        <v>1025</v>
      </c>
      <c r="B534" s="8" t="s">
        <v>1186</v>
      </c>
      <c r="C534" s="8" t="s">
        <v>1185</v>
      </c>
      <c r="D534" s="7" t="n">
        <v>1</v>
      </c>
      <c r="E534" s="15" t="s">
        <v>1184</v>
      </c>
      <c r="F534" s="15"/>
      <c r="G534" s="15"/>
    </row>
    <row r="535" customFormat="false" ht="15" hidden="false" customHeight="false" outlineLevel="0" collapsed="false">
      <c r="A535" s="7" t="s">
        <v>1025</v>
      </c>
      <c r="B535" s="8" t="s">
        <v>1467</v>
      </c>
      <c r="C535" s="8" t="s">
        <v>1466</v>
      </c>
      <c r="D535" s="7" t="n">
        <v>1</v>
      </c>
      <c r="E535" s="15" t="s">
        <v>1465</v>
      </c>
      <c r="F535" s="15"/>
      <c r="G535" s="15"/>
    </row>
    <row r="536" customFormat="false" ht="15" hidden="false" customHeight="false" outlineLevel="0" collapsed="false">
      <c r="A536" s="7" t="s">
        <v>1025</v>
      </c>
      <c r="B536" s="8" t="s">
        <v>1323</v>
      </c>
      <c r="C536" s="8" t="s">
        <v>1322</v>
      </c>
      <c r="D536" s="7" t="n">
        <v>1</v>
      </c>
      <c r="E536" s="15" t="s">
        <v>1321</v>
      </c>
      <c r="F536" s="15"/>
      <c r="G536" s="15"/>
    </row>
    <row r="537" customFormat="false" ht="15" hidden="false" customHeight="false" outlineLevel="0" collapsed="false">
      <c r="A537" s="7" t="s">
        <v>1025</v>
      </c>
      <c r="B537" s="8" t="s">
        <v>1422</v>
      </c>
      <c r="C537" s="8" t="s">
        <v>1420</v>
      </c>
      <c r="D537" s="7" t="n">
        <v>1</v>
      </c>
      <c r="E537" s="15" t="s">
        <v>1419</v>
      </c>
      <c r="F537" s="13" t="s">
        <v>74</v>
      </c>
      <c r="G537" s="14"/>
    </row>
    <row r="538" customFormat="false" ht="15" hidden="false" customHeight="false" outlineLevel="0" collapsed="false">
      <c r="A538" s="7" t="s">
        <v>1025</v>
      </c>
      <c r="B538" s="8" t="s">
        <v>1308</v>
      </c>
      <c r="C538" s="8" t="s">
        <v>1306</v>
      </c>
      <c r="D538" s="7" t="n">
        <v>2</v>
      </c>
      <c r="E538" s="15" t="s">
        <v>2787</v>
      </c>
      <c r="F538" s="13" t="s">
        <v>87</v>
      </c>
      <c r="G538" s="14"/>
    </row>
    <row r="539" customFormat="false" ht="15" hidden="false" customHeight="false" outlineLevel="0" collapsed="false">
      <c r="A539" s="7" t="s">
        <v>1025</v>
      </c>
      <c r="B539" s="8" t="s">
        <v>1951</v>
      </c>
      <c r="C539" s="8" t="s">
        <v>1950</v>
      </c>
      <c r="D539" s="7" t="n">
        <v>2</v>
      </c>
      <c r="E539" s="15" t="s">
        <v>2788</v>
      </c>
      <c r="F539" s="13" t="s">
        <v>87</v>
      </c>
      <c r="G539" s="14"/>
    </row>
    <row r="540" customFormat="false" ht="15" hidden="false" customHeight="false" outlineLevel="0" collapsed="false">
      <c r="A540" s="7" t="s">
        <v>1025</v>
      </c>
      <c r="B540" s="8" t="s">
        <v>1896</v>
      </c>
      <c r="C540" s="8" t="s">
        <v>1895</v>
      </c>
      <c r="D540" s="7" t="n">
        <v>1</v>
      </c>
      <c r="E540" s="15" t="s">
        <v>1894</v>
      </c>
      <c r="F540" s="15"/>
      <c r="G540" s="15"/>
    </row>
    <row r="541" customFormat="false" ht="15" hidden="false" customHeight="false" outlineLevel="0" collapsed="false">
      <c r="A541" s="7" t="s">
        <v>1025</v>
      </c>
      <c r="B541" s="8" t="s">
        <v>1635</v>
      </c>
      <c r="C541" s="8" t="s">
        <v>1634</v>
      </c>
      <c r="D541" s="7" t="n">
        <v>1</v>
      </c>
      <c r="E541" s="15" t="s">
        <v>1633</v>
      </c>
      <c r="F541" s="15"/>
      <c r="G541" s="15"/>
    </row>
    <row r="542" customFormat="false" ht="15" hidden="false" customHeight="false" outlineLevel="0" collapsed="false">
      <c r="A542" s="7" t="s">
        <v>1025</v>
      </c>
      <c r="B542" s="8" t="s">
        <v>1369</v>
      </c>
      <c r="C542" s="8" t="s">
        <v>1368</v>
      </c>
      <c r="D542" s="7" t="n">
        <v>1</v>
      </c>
      <c r="E542" s="15" t="s">
        <v>1367</v>
      </c>
      <c r="F542" s="15"/>
      <c r="G542" s="15"/>
    </row>
    <row r="543" customFormat="false" ht="15" hidden="false" customHeight="false" outlineLevel="0" collapsed="false">
      <c r="A543" s="7" t="s">
        <v>1025</v>
      </c>
      <c r="B543" s="8" t="s">
        <v>1762</v>
      </c>
      <c r="C543" s="8" t="s">
        <v>1761</v>
      </c>
      <c r="D543" s="7" t="n">
        <v>1</v>
      </c>
      <c r="E543" s="15" t="s">
        <v>1760</v>
      </c>
      <c r="F543" s="15"/>
      <c r="G543" s="15"/>
    </row>
    <row r="544" customFormat="false" ht="15" hidden="false" customHeight="false" outlineLevel="0" collapsed="false">
      <c r="A544" s="7" t="s">
        <v>1025</v>
      </c>
      <c r="B544" s="8" t="s">
        <v>1235</v>
      </c>
      <c r="C544" s="8" t="s">
        <v>1234</v>
      </c>
      <c r="D544" s="7" t="n">
        <v>2</v>
      </c>
      <c r="E544" s="15" t="s">
        <v>2789</v>
      </c>
      <c r="F544" s="13" t="s">
        <v>1204</v>
      </c>
      <c r="G544" s="14"/>
    </row>
    <row r="545" customFormat="false" ht="15" hidden="false" customHeight="false" outlineLevel="0" collapsed="false">
      <c r="A545" s="7" t="s">
        <v>1025</v>
      </c>
      <c r="B545" s="8" t="s">
        <v>1292</v>
      </c>
      <c r="C545" s="8" t="s">
        <v>1291</v>
      </c>
      <c r="D545" s="7" t="n">
        <v>1</v>
      </c>
      <c r="E545" s="15" t="s">
        <v>1290</v>
      </c>
      <c r="F545" s="15"/>
      <c r="G545" s="15"/>
    </row>
    <row r="546" customFormat="false" ht="15" hidden="false" customHeight="false" outlineLevel="0" collapsed="false">
      <c r="A546" s="7" t="s">
        <v>1025</v>
      </c>
      <c r="B546" s="8" t="s">
        <v>1900</v>
      </c>
      <c r="C546" s="8" t="s">
        <v>1898</v>
      </c>
      <c r="D546" s="7" t="n">
        <v>1</v>
      </c>
      <c r="E546" s="15" t="s">
        <v>1897</v>
      </c>
      <c r="F546" s="15"/>
      <c r="G546" s="15"/>
    </row>
    <row r="547" customFormat="false" ht="15" hidden="false" customHeight="false" outlineLevel="0" collapsed="false">
      <c r="A547" s="7" t="s">
        <v>1025</v>
      </c>
      <c r="B547" s="8" t="s">
        <v>1122</v>
      </c>
      <c r="C547" s="8" t="s">
        <v>1121</v>
      </c>
      <c r="D547" s="7" t="n">
        <v>1</v>
      </c>
      <c r="E547" s="15" t="s">
        <v>1120</v>
      </c>
      <c r="F547" s="15"/>
      <c r="G547" s="15"/>
    </row>
    <row r="548" customFormat="false" ht="15" hidden="false" customHeight="false" outlineLevel="0" collapsed="false">
      <c r="A548" s="7" t="s">
        <v>1025</v>
      </c>
      <c r="B548" s="8" t="s">
        <v>1217</v>
      </c>
      <c r="C548" s="8" t="s">
        <v>1216</v>
      </c>
      <c r="D548" s="7" t="n">
        <v>1</v>
      </c>
      <c r="E548" s="15" t="s">
        <v>1215</v>
      </c>
      <c r="F548" s="15"/>
      <c r="G548" s="15"/>
    </row>
    <row r="549" customFormat="false" ht="15" hidden="false" customHeight="false" outlineLevel="0" collapsed="false">
      <c r="A549" s="7" t="s">
        <v>1025</v>
      </c>
      <c r="B549" s="8" t="s">
        <v>1804</v>
      </c>
      <c r="C549" s="8" t="s">
        <v>1803</v>
      </c>
      <c r="D549" s="7" t="n">
        <v>3</v>
      </c>
      <c r="E549" s="15" t="s">
        <v>2790</v>
      </c>
      <c r="F549" s="13" t="s">
        <v>87</v>
      </c>
      <c r="G549" s="14"/>
    </row>
    <row r="550" customFormat="false" ht="15" hidden="false" customHeight="false" outlineLevel="0" collapsed="false">
      <c r="A550" s="7" t="s">
        <v>1025</v>
      </c>
      <c r="B550" s="8" t="s">
        <v>1643</v>
      </c>
      <c r="C550" s="8" t="s">
        <v>1642</v>
      </c>
      <c r="D550" s="7" t="n">
        <v>1</v>
      </c>
      <c r="E550" s="15" t="s">
        <v>1641</v>
      </c>
      <c r="F550" s="15"/>
      <c r="G550" s="15"/>
    </row>
    <row r="551" customFormat="false" ht="15" hidden="false" customHeight="false" outlineLevel="0" collapsed="false">
      <c r="A551" s="7" t="s">
        <v>1025</v>
      </c>
      <c r="B551" s="8" t="s">
        <v>1535</v>
      </c>
      <c r="C551" s="8" t="s">
        <v>1534</v>
      </c>
      <c r="D551" s="7" t="n">
        <v>1</v>
      </c>
      <c r="E551" s="15" t="s">
        <v>1533</v>
      </c>
      <c r="F551" s="15"/>
      <c r="G551" s="15"/>
    </row>
    <row r="552" customFormat="false" ht="15" hidden="false" customHeight="false" outlineLevel="0" collapsed="false">
      <c r="A552" s="7" t="s">
        <v>1025</v>
      </c>
      <c r="B552" s="8" t="s">
        <v>1858</v>
      </c>
      <c r="C552" s="8" t="s">
        <v>1857</v>
      </c>
      <c r="D552" s="7" t="n">
        <v>1</v>
      </c>
      <c r="E552" s="15" t="s">
        <v>1856</v>
      </c>
      <c r="F552" s="15"/>
      <c r="G552" s="15"/>
    </row>
    <row r="553" customFormat="false" ht="15" hidden="false" customHeight="false" outlineLevel="0" collapsed="false">
      <c r="A553" s="7" t="s">
        <v>1025</v>
      </c>
      <c r="B553" s="8" t="s">
        <v>1584</v>
      </c>
      <c r="C553" s="8" t="s">
        <v>1583</v>
      </c>
      <c r="D553" s="7" t="n">
        <v>1</v>
      </c>
      <c r="E553" s="15" t="s">
        <v>1582</v>
      </c>
      <c r="F553" s="15"/>
      <c r="G553" s="15"/>
    </row>
    <row r="554" customFormat="false" ht="15" hidden="false" customHeight="false" outlineLevel="0" collapsed="false">
      <c r="A554" s="7" t="s">
        <v>1025</v>
      </c>
      <c r="B554" s="8" t="s">
        <v>1670</v>
      </c>
      <c r="C554" s="8" t="s">
        <v>2791</v>
      </c>
      <c r="D554" s="7" t="n">
        <v>3</v>
      </c>
      <c r="E554" s="15" t="s">
        <v>2792</v>
      </c>
      <c r="F554" s="13" t="s">
        <v>87</v>
      </c>
      <c r="G554" s="14"/>
    </row>
    <row r="555" customFormat="false" ht="15" hidden="false" customHeight="false" outlineLevel="0" collapsed="false">
      <c r="A555" s="7" t="s">
        <v>1025</v>
      </c>
      <c r="B555" s="8" t="s">
        <v>1200</v>
      </c>
      <c r="C555" s="8" t="s">
        <v>1199</v>
      </c>
      <c r="D555" s="7" t="n">
        <v>1</v>
      </c>
      <c r="E555" s="15" t="s">
        <v>1198</v>
      </c>
      <c r="F555" s="15"/>
      <c r="G555" s="15"/>
    </row>
    <row r="556" customFormat="false" ht="15" hidden="false" customHeight="false" outlineLevel="0" collapsed="false">
      <c r="A556" s="7" t="s">
        <v>1025</v>
      </c>
      <c r="B556" s="8" t="s">
        <v>1347</v>
      </c>
      <c r="C556" s="8" t="s">
        <v>1346</v>
      </c>
      <c r="D556" s="7" t="n">
        <v>1</v>
      </c>
      <c r="E556" s="15" t="s">
        <v>1345</v>
      </c>
      <c r="F556" s="15"/>
      <c r="G556" s="15"/>
    </row>
    <row r="557" customFormat="false" ht="15" hidden="false" customHeight="false" outlineLevel="0" collapsed="false">
      <c r="A557" s="7" t="s">
        <v>1025</v>
      </c>
      <c r="B557" s="8" t="s">
        <v>1143</v>
      </c>
      <c r="C557" s="8" t="s">
        <v>1142</v>
      </c>
      <c r="D557" s="7" t="n">
        <v>1</v>
      </c>
      <c r="E557" s="15" t="s">
        <v>1141</v>
      </c>
      <c r="F557" s="15"/>
      <c r="G557" s="15"/>
    </row>
    <row r="558" customFormat="false" ht="15" hidden="false" customHeight="false" outlineLevel="0" collapsed="false">
      <c r="A558" s="7" t="s">
        <v>1025</v>
      </c>
      <c r="B558" s="8" t="s">
        <v>1180</v>
      </c>
      <c r="C558" s="8" t="s">
        <v>1179</v>
      </c>
      <c r="D558" s="7" t="n">
        <v>1</v>
      </c>
      <c r="E558" s="15" t="s">
        <v>1178</v>
      </c>
      <c r="F558" s="15"/>
      <c r="G558" s="15"/>
    </row>
    <row r="559" customFormat="false" ht="15" hidden="false" customHeight="false" outlineLevel="0" collapsed="false">
      <c r="A559" s="7" t="s">
        <v>1025</v>
      </c>
      <c r="B559" s="8" t="s">
        <v>1456</v>
      </c>
      <c r="C559" s="8" t="s">
        <v>1455</v>
      </c>
      <c r="D559" s="7" t="n">
        <v>1</v>
      </c>
      <c r="E559" s="15" t="s">
        <v>1454</v>
      </c>
      <c r="F559" s="15"/>
      <c r="G559" s="15"/>
    </row>
    <row r="560" customFormat="false" ht="15" hidden="false" customHeight="false" outlineLevel="0" collapsed="false">
      <c r="A560" s="7" t="s">
        <v>1025</v>
      </c>
      <c r="B560" s="8" t="s">
        <v>1463</v>
      </c>
      <c r="C560" s="8" t="s">
        <v>1462</v>
      </c>
      <c r="D560" s="7" t="n">
        <v>1</v>
      </c>
      <c r="E560" s="15" t="s">
        <v>1461</v>
      </c>
      <c r="F560" s="14"/>
      <c r="G560" s="14" t="s">
        <v>1464</v>
      </c>
    </row>
    <row r="561" customFormat="false" ht="15" hidden="false" customHeight="false" outlineLevel="0" collapsed="false">
      <c r="A561" s="7" t="s">
        <v>1025</v>
      </c>
      <c r="B561" s="8" t="s">
        <v>1459</v>
      </c>
      <c r="C561" s="8" t="s">
        <v>1458</v>
      </c>
      <c r="D561" s="7" t="n">
        <v>1</v>
      </c>
      <c r="E561" s="15" t="s">
        <v>1457</v>
      </c>
      <c r="F561" s="15"/>
      <c r="G561" s="15"/>
    </row>
    <row r="562" customFormat="false" ht="15" hidden="false" customHeight="false" outlineLevel="0" collapsed="false">
      <c r="A562" s="7" t="s">
        <v>1025</v>
      </c>
      <c r="B562" s="8" t="s">
        <v>1359</v>
      </c>
      <c r="C562" s="8" t="s">
        <v>1358</v>
      </c>
      <c r="D562" s="7" t="n">
        <v>1</v>
      </c>
      <c r="E562" s="15" t="s">
        <v>1357</v>
      </c>
      <c r="F562" s="15"/>
      <c r="G562" s="15"/>
    </row>
    <row r="563" customFormat="false" ht="15" hidden="false" customHeight="false" outlineLevel="0" collapsed="false">
      <c r="A563" s="7" t="s">
        <v>1025</v>
      </c>
      <c r="B563" s="8" t="s">
        <v>1914</v>
      </c>
      <c r="C563" s="8" t="s">
        <v>1912</v>
      </c>
      <c r="D563" s="7" t="n">
        <v>1</v>
      </c>
      <c r="E563" s="15" t="s">
        <v>1911</v>
      </c>
      <c r="F563" s="15"/>
      <c r="G563" s="15"/>
    </row>
    <row r="564" customFormat="false" ht="15" hidden="false" customHeight="false" outlineLevel="0" collapsed="false">
      <c r="A564" s="7" t="s">
        <v>1025</v>
      </c>
      <c r="B564" s="8" t="s">
        <v>1719</v>
      </c>
      <c r="C564" s="8" t="s">
        <v>1718</v>
      </c>
      <c r="D564" s="7" t="n">
        <v>1</v>
      </c>
      <c r="E564" s="15" t="s">
        <v>1717</v>
      </c>
      <c r="F564" s="15"/>
      <c r="G564" s="15"/>
    </row>
    <row r="565" customFormat="false" ht="15" hidden="false" customHeight="false" outlineLevel="0" collapsed="false">
      <c r="A565" s="7" t="s">
        <v>1025</v>
      </c>
      <c r="B565" s="8" t="s">
        <v>1066</v>
      </c>
      <c r="C565" s="8" t="s">
        <v>1065</v>
      </c>
      <c r="D565" s="7" t="n">
        <v>1</v>
      </c>
      <c r="E565" s="15" t="s">
        <v>1064</v>
      </c>
      <c r="F565" s="15"/>
      <c r="G565" s="15"/>
    </row>
    <row r="566" customFormat="false" ht="15" hidden="false" customHeight="false" outlineLevel="0" collapsed="false">
      <c r="A566" s="7" t="s">
        <v>1025</v>
      </c>
      <c r="B566" s="8" t="s">
        <v>1344</v>
      </c>
      <c r="C566" s="8" t="s">
        <v>1343</v>
      </c>
      <c r="D566" s="7" t="n">
        <v>1</v>
      </c>
      <c r="E566" s="15" t="s">
        <v>1342</v>
      </c>
      <c r="F566" s="15"/>
      <c r="G566" s="15"/>
    </row>
    <row r="567" customFormat="false" ht="15" hidden="false" customHeight="false" outlineLevel="0" collapsed="false">
      <c r="A567" s="7" t="s">
        <v>1025</v>
      </c>
      <c r="B567" s="8" t="s">
        <v>1686</v>
      </c>
      <c r="C567" s="8" t="s">
        <v>1685</v>
      </c>
      <c r="D567" s="7" t="n">
        <v>1</v>
      </c>
      <c r="E567" s="15" t="s">
        <v>1684</v>
      </c>
      <c r="F567" s="15"/>
      <c r="G567" s="15"/>
    </row>
    <row r="568" customFormat="false" ht="15" hidden="false" customHeight="false" outlineLevel="0" collapsed="false">
      <c r="A568" s="7" t="s">
        <v>1025</v>
      </c>
      <c r="B568" s="8" t="s">
        <v>1272</v>
      </c>
      <c r="C568" s="8" t="s">
        <v>1270</v>
      </c>
      <c r="D568" s="7" t="n">
        <v>1</v>
      </c>
      <c r="E568" s="15" t="s">
        <v>1269</v>
      </c>
      <c r="F568" s="15"/>
      <c r="G568" s="15"/>
    </row>
    <row r="569" customFormat="false" ht="15" hidden="false" customHeight="false" outlineLevel="0" collapsed="false">
      <c r="A569" s="7" t="s">
        <v>1025</v>
      </c>
      <c r="B569" s="8" t="s">
        <v>1262</v>
      </c>
      <c r="C569" s="8" t="s">
        <v>1261</v>
      </c>
      <c r="D569" s="7" t="n">
        <v>1</v>
      </c>
      <c r="E569" s="15" t="s">
        <v>1260</v>
      </c>
      <c r="F569" s="15"/>
      <c r="G569" s="15"/>
    </row>
    <row r="570" customFormat="false" ht="15" hidden="false" customHeight="false" outlineLevel="0" collapsed="false">
      <c r="A570" s="7" t="s">
        <v>1025</v>
      </c>
      <c r="B570" s="8" t="s">
        <v>1409</v>
      </c>
      <c r="C570" s="8" t="s">
        <v>1407</v>
      </c>
      <c r="D570" s="7" t="n">
        <v>1</v>
      </c>
      <c r="E570" s="15" t="s">
        <v>1406</v>
      </c>
      <c r="F570" s="13" t="s">
        <v>74</v>
      </c>
      <c r="G570" s="14"/>
    </row>
    <row r="571" customFormat="false" ht="15" hidden="false" customHeight="false" outlineLevel="0" collapsed="false">
      <c r="A571" s="7" t="s">
        <v>1025</v>
      </c>
      <c r="B571" s="8" t="s">
        <v>1470</v>
      </c>
      <c r="C571" s="8" t="s">
        <v>1469</v>
      </c>
      <c r="D571" s="7" t="n">
        <v>1</v>
      </c>
      <c r="E571" s="15" t="s">
        <v>1468</v>
      </c>
      <c r="F571" s="15"/>
      <c r="G571" s="15"/>
    </row>
    <row r="572" customFormat="false" ht="15" hidden="false" customHeight="false" outlineLevel="0" collapsed="false">
      <c r="A572" s="7" t="s">
        <v>1025</v>
      </c>
      <c r="B572" s="8" t="s">
        <v>1319</v>
      </c>
      <c r="C572" s="8" t="s">
        <v>1318</v>
      </c>
      <c r="D572" s="7" t="n">
        <v>1</v>
      </c>
      <c r="E572" s="15" t="s">
        <v>1317</v>
      </c>
      <c r="F572" s="15"/>
      <c r="G572" s="15"/>
    </row>
    <row r="573" customFormat="false" ht="15" hidden="false" customHeight="false" outlineLevel="0" collapsed="false">
      <c r="A573" s="7" t="s">
        <v>1025</v>
      </c>
      <c r="B573" s="8" t="s">
        <v>1861</v>
      </c>
      <c r="C573" s="8" t="s">
        <v>2793</v>
      </c>
      <c r="D573" s="7" t="n">
        <v>4</v>
      </c>
      <c r="E573" s="15" t="s">
        <v>2794</v>
      </c>
      <c r="F573" s="13" t="s">
        <v>87</v>
      </c>
      <c r="G573" s="14"/>
    </row>
    <row r="574" customFormat="false" ht="15" hidden="false" customHeight="false" outlineLevel="0" collapsed="false">
      <c r="A574" s="7" t="s">
        <v>1025</v>
      </c>
      <c r="B574" s="8" t="s">
        <v>1546</v>
      </c>
      <c r="C574" s="8" t="s">
        <v>1545</v>
      </c>
      <c r="D574" s="7" t="n">
        <v>1</v>
      </c>
      <c r="E574" s="15" t="s">
        <v>1544</v>
      </c>
      <c r="F574" s="15"/>
      <c r="G574" s="15"/>
    </row>
    <row r="575" customFormat="false" ht="15" hidden="false" customHeight="false" outlineLevel="0" collapsed="false">
      <c r="A575" s="7" t="s">
        <v>1025</v>
      </c>
      <c r="B575" s="8" t="s">
        <v>1759</v>
      </c>
      <c r="C575" s="8" t="s">
        <v>1757</v>
      </c>
      <c r="D575" s="7" t="n">
        <v>1</v>
      </c>
      <c r="E575" s="15" t="s">
        <v>1756</v>
      </c>
      <c r="F575" s="15"/>
      <c r="G575" s="15"/>
    </row>
    <row r="576" customFormat="false" ht="15" hidden="false" customHeight="false" outlineLevel="0" collapsed="false">
      <c r="A576" s="7" t="s">
        <v>1025</v>
      </c>
      <c r="B576" s="8" t="s">
        <v>1774</v>
      </c>
      <c r="C576" s="8" t="s">
        <v>1773</v>
      </c>
      <c r="D576" s="7" t="n">
        <v>1</v>
      </c>
      <c r="E576" s="15" t="s">
        <v>1772</v>
      </c>
      <c r="F576" s="15"/>
      <c r="G576" s="15"/>
    </row>
    <row r="577" customFormat="false" ht="15" hidden="false" customHeight="false" outlineLevel="0" collapsed="false">
      <c r="A577" s="7" t="s">
        <v>1025</v>
      </c>
      <c r="B577" s="8" t="s">
        <v>1340</v>
      </c>
      <c r="C577" s="8" t="s">
        <v>1339</v>
      </c>
      <c r="D577" s="7" t="n">
        <v>1</v>
      </c>
      <c r="E577" s="15" t="s">
        <v>1338</v>
      </c>
      <c r="F577" s="15"/>
      <c r="G577" s="15"/>
    </row>
    <row r="578" customFormat="false" ht="15" hidden="false" customHeight="false" outlineLevel="0" collapsed="false">
      <c r="A578" s="7" t="s">
        <v>1025</v>
      </c>
      <c r="B578" s="8" t="s">
        <v>1818</v>
      </c>
      <c r="C578" s="8" t="s">
        <v>1816</v>
      </c>
      <c r="D578" s="7" t="n">
        <v>1</v>
      </c>
      <c r="E578" s="15" t="s">
        <v>1815</v>
      </c>
      <c r="F578" s="15"/>
      <c r="G578" s="15"/>
    </row>
    <row r="579" customFormat="false" ht="15" hidden="false" customHeight="false" outlineLevel="0" collapsed="false">
      <c r="A579" s="7" t="s">
        <v>1025</v>
      </c>
      <c r="B579" s="8" t="s">
        <v>1208</v>
      </c>
      <c r="C579" s="8" t="s">
        <v>1207</v>
      </c>
      <c r="D579" s="7" t="n">
        <v>2</v>
      </c>
      <c r="E579" s="15" t="s">
        <v>2795</v>
      </c>
      <c r="F579" s="13" t="s">
        <v>87</v>
      </c>
      <c r="G579" s="14"/>
    </row>
    <row r="580" customFormat="false" ht="15" hidden="false" customHeight="false" outlineLevel="0" collapsed="false">
      <c r="A580" s="7" t="s">
        <v>1025</v>
      </c>
      <c r="B580" s="8" t="s">
        <v>1034</v>
      </c>
      <c r="C580" s="8" t="s">
        <v>1033</v>
      </c>
      <c r="D580" s="7" t="n">
        <v>1</v>
      </c>
      <c r="E580" s="15" t="s">
        <v>1032</v>
      </c>
      <c r="F580" s="15"/>
      <c r="G580" s="15"/>
    </row>
    <row r="581" customFormat="false" ht="15" hidden="false" customHeight="false" outlineLevel="0" collapsed="false">
      <c r="A581" s="7" t="s">
        <v>1025</v>
      </c>
      <c r="B581" s="8" t="s">
        <v>1076</v>
      </c>
      <c r="C581" s="8" t="s">
        <v>1075</v>
      </c>
      <c r="D581" s="7" t="n">
        <v>2</v>
      </c>
      <c r="E581" s="15" t="s">
        <v>2796</v>
      </c>
      <c r="F581" s="13" t="s">
        <v>87</v>
      </c>
      <c r="G581" s="14"/>
    </row>
    <row r="582" customFormat="false" ht="15" hidden="false" customHeight="false" outlineLevel="0" collapsed="false">
      <c r="A582" s="7" t="s">
        <v>1025</v>
      </c>
      <c r="B582" s="8" t="s">
        <v>1080</v>
      </c>
      <c r="C582" s="8" t="s">
        <v>1078</v>
      </c>
      <c r="D582" s="7" t="n">
        <v>1</v>
      </c>
      <c r="E582" s="15" t="s">
        <v>1077</v>
      </c>
      <c r="F582" s="14"/>
      <c r="G582" s="14" t="s">
        <v>1081</v>
      </c>
    </row>
    <row r="583" customFormat="false" ht="15" hidden="false" customHeight="false" outlineLevel="0" collapsed="false">
      <c r="A583" s="7" t="s">
        <v>1025</v>
      </c>
      <c r="B583" s="8" t="s">
        <v>1161</v>
      </c>
      <c r="C583" s="8" t="s">
        <v>1160</v>
      </c>
      <c r="D583" s="7" t="n">
        <v>1</v>
      </c>
      <c r="E583" s="15" t="s">
        <v>1159</v>
      </c>
      <c r="F583" s="15"/>
      <c r="G583" s="15"/>
    </row>
    <row r="584" customFormat="false" ht="15" hidden="false" customHeight="false" outlineLevel="0" collapsed="false">
      <c r="A584" s="7" t="s">
        <v>1025</v>
      </c>
      <c r="B584" s="8" t="s">
        <v>1484</v>
      </c>
      <c r="C584" s="8" t="s">
        <v>1483</v>
      </c>
      <c r="D584" s="7" t="n">
        <v>1</v>
      </c>
      <c r="E584" s="15" t="s">
        <v>1482</v>
      </c>
      <c r="F584" s="15"/>
      <c r="G584" s="15"/>
    </row>
    <row r="585" customFormat="false" ht="15" hidden="false" customHeight="false" outlineLevel="0" collapsed="false">
      <c r="A585" s="7" t="s">
        <v>1025</v>
      </c>
      <c r="B585" s="8" t="s">
        <v>1365</v>
      </c>
      <c r="C585" s="8" t="s">
        <v>1364</v>
      </c>
      <c r="D585" s="7" t="n">
        <v>1</v>
      </c>
      <c r="E585" s="15" t="s">
        <v>1363</v>
      </c>
      <c r="F585" s="15"/>
      <c r="G585" s="15"/>
    </row>
    <row r="586" customFormat="false" ht="15" hidden="false" customHeight="false" outlineLevel="0" collapsed="false">
      <c r="A586" s="7" t="s">
        <v>1025</v>
      </c>
      <c r="B586" s="8" t="s">
        <v>1040</v>
      </c>
      <c r="C586" s="8" t="s">
        <v>1039</v>
      </c>
      <c r="D586" s="7" t="n">
        <v>1</v>
      </c>
      <c r="E586" s="15" t="s">
        <v>1038</v>
      </c>
      <c r="F586" s="15"/>
      <c r="G586" s="15"/>
    </row>
    <row r="587" customFormat="false" ht="15" hidden="false" customHeight="false" outlineLevel="0" collapsed="false">
      <c r="A587" s="7" t="s">
        <v>1025</v>
      </c>
      <c r="B587" s="8" t="s">
        <v>1197</v>
      </c>
      <c r="C587" s="8" t="s">
        <v>1196</v>
      </c>
      <c r="D587" s="7" t="n">
        <v>1</v>
      </c>
      <c r="E587" s="15" t="s">
        <v>1195</v>
      </c>
      <c r="F587" s="15"/>
      <c r="G587" s="15"/>
    </row>
    <row r="588" customFormat="false" ht="15" hidden="false" customHeight="false" outlineLevel="0" collapsed="false">
      <c r="A588" s="7" t="s">
        <v>1967</v>
      </c>
      <c r="B588" s="8" t="s">
        <v>2676</v>
      </c>
      <c r="C588" s="8" t="s">
        <v>2675</v>
      </c>
      <c r="D588" s="7" t="n">
        <v>1</v>
      </c>
      <c r="E588" s="15" t="s">
        <v>2674</v>
      </c>
      <c r="F588" s="15"/>
      <c r="G588" s="15"/>
    </row>
    <row r="589" customFormat="false" ht="15" hidden="false" customHeight="false" outlineLevel="0" collapsed="false">
      <c r="A589" s="7" t="s">
        <v>1967</v>
      </c>
      <c r="B589" s="8" t="s">
        <v>552</v>
      </c>
      <c r="C589" s="8" t="s">
        <v>551</v>
      </c>
      <c r="D589" s="7" t="n">
        <v>1</v>
      </c>
      <c r="E589" s="15" t="s">
        <v>2288</v>
      </c>
      <c r="F589" s="13" t="s">
        <v>56</v>
      </c>
      <c r="G589" s="14" t="s">
        <v>553</v>
      </c>
    </row>
    <row r="590" customFormat="false" ht="15" hidden="false" customHeight="false" outlineLevel="0" collapsed="false">
      <c r="A590" s="7" t="s">
        <v>1967</v>
      </c>
      <c r="B590" s="8" t="s">
        <v>2443</v>
      </c>
      <c r="C590" s="8" t="s">
        <v>2442</v>
      </c>
      <c r="D590" s="7" t="n">
        <v>1</v>
      </c>
      <c r="E590" s="15" t="s">
        <v>2441</v>
      </c>
      <c r="F590" s="15"/>
      <c r="G590" s="15"/>
    </row>
    <row r="591" customFormat="false" ht="15" hidden="false" customHeight="false" outlineLevel="0" collapsed="false">
      <c r="A591" s="7" t="s">
        <v>1967</v>
      </c>
      <c r="B591" s="8" t="s">
        <v>2234</v>
      </c>
      <c r="C591" s="8" t="s">
        <v>2233</v>
      </c>
      <c r="D591" s="7" t="n">
        <v>1</v>
      </c>
      <c r="E591" s="15" t="s">
        <v>2229</v>
      </c>
      <c r="F591" s="14"/>
      <c r="G591" s="14" t="s">
        <v>2235</v>
      </c>
    </row>
    <row r="592" customFormat="false" ht="15" hidden="false" customHeight="false" outlineLevel="0" collapsed="false">
      <c r="A592" s="7" t="s">
        <v>1967</v>
      </c>
      <c r="B592" s="8" t="s">
        <v>2043</v>
      </c>
      <c r="C592" s="8" t="s">
        <v>2042</v>
      </c>
      <c r="D592" s="7" t="n">
        <v>1</v>
      </c>
      <c r="E592" s="15" t="s">
        <v>2041</v>
      </c>
      <c r="F592" s="15"/>
      <c r="G592" s="15"/>
    </row>
    <row r="593" customFormat="false" ht="15" hidden="false" customHeight="false" outlineLevel="0" collapsed="false">
      <c r="A593" s="7" t="s">
        <v>1967</v>
      </c>
      <c r="B593" s="8" t="s">
        <v>2687</v>
      </c>
      <c r="C593" s="8" t="s">
        <v>2685</v>
      </c>
      <c r="D593" s="7" t="n">
        <v>1</v>
      </c>
      <c r="E593" s="15" t="s">
        <v>2684</v>
      </c>
      <c r="F593" s="15"/>
      <c r="G593" s="15"/>
    </row>
    <row r="594" customFormat="false" ht="15" hidden="false" customHeight="false" outlineLevel="0" collapsed="false">
      <c r="A594" s="7" t="s">
        <v>1967</v>
      </c>
      <c r="B594" s="8" t="s">
        <v>68</v>
      </c>
      <c r="C594" s="8" t="s">
        <v>67</v>
      </c>
      <c r="D594" s="7" t="n">
        <v>1</v>
      </c>
      <c r="E594" s="15" t="s">
        <v>2414</v>
      </c>
      <c r="F594" s="13" t="s">
        <v>56</v>
      </c>
      <c r="G594" s="14" t="s">
        <v>69</v>
      </c>
    </row>
    <row r="595" customFormat="false" ht="15" hidden="false" customHeight="false" outlineLevel="0" collapsed="false">
      <c r="A595" s="7" t="s">
        <v>1967</v>
      </c>
      <c r="B595" s="8" t="s">
        <v>1992</v>
      </c>
      <c r="C595" s="8" t="s">
        <v>1991</v>
      </c>
      <c r="D595" s="7" t="n">
        <v>1</v>
      </c>
      <c r="E595" s="15" t="s">
        <v>1990</v>
      </c>
      <c r="F595" s="15"/>
      <c r="G595" s="15"/>
    </row>
    <row r="596" customFormat="false" ht="15" hidden="false" customHeight="false" outlineLevel="0" collapsed="false">
      <c r="A596" s="7" t="s">
        <v>1967</v>
      </c>
      <c r="B596" s="8" t="s">
        <v>2284</v>
      </c>
      <c r="C596" s="8" t="s">
        <v>2283</v>
      </c>
      <c r="D596" s="7" t="n">
        <v>1</v>
      </c>
      <c r="E596" s="15" t="s">
        <v>2282</v>
      </c>
      <c r="F596" s="15"/>
      <c r="G596" s="15"/>
    </row>
    <row r="597" customFormat="false" ht="15" hidden="false" customHeight="false" outlineLevel="0" collapsed="false">
      <c r="A597" s="7" t="s">
        <v>1967</v>
      </c>
      <c r="B597" s="8" t="s">
        <v>2250</v>
      </c>
      <c r="C597" s="8" t="s">
        <v>2249</v>
      </c>
      <c r="D597" s="7" t="n">
        <v>1</v>
      </c>
      <c r="E597" s="15" t="s">
        <v>2248</v>
      </c>
      <c r="F597" s="15"/>
      <c r="G597" s="15"/>
    </row>
    <row r="598" customFormat="false" ht="15" hidden="false" customHeight="false" outlineLevel="0" collapsed="false">
      <c r="A598" s="7" t="s">
        <v>1967</v>
      </c>
      <c r="B598" s="8" t="s">
        <v>2096</v>
      </c>
      <c r="C598" s="8" t="s">
        <v>2095</v>
      </c>
      <c r="D598" s="7" t="n">
        <v>1</v>
      </c>
      <c r="E598" s="15" t="s">
        <v>2094</v>
      </c>
      <c r="F598" s="15"/>
      <c r="G598" s="15"/>
    </row>
    <row r="599" customFormat="false" ht="15" hidden="false" customHeight="false" outlineLevel="0" collapsed="false">
      <c r="A599" s="7" t="s">
        <v>1967</v>
      </c>
      <c r="B599" s="8" t="s">
        <v>2413</v>
      </c>
      <c r="C599" s="8" t="s">
        <v>2412</v>
      </c>
      <c r="D599" s="7" t="n">
        <v>1</v>
      </c>
      <c r="E599" s="15" t="s">
        <v>2411</v>
      </c>
      <c r="F599" s="15"/>
      <c r="G599" s="15"/>
    </row>
    <row r="600" customFormat="false" ht="15" hidden="false" customHeight="false" outlineLevel="0" collapsed="false">
      <c r="A600" s="7" t="s">
        <v>1967</v>
      </c>
      <c r="B600" s="8" t="s">
        <v>1977</v>
      </c>
      <c r="C600" s="8" t="s">
        <v>1976</v>
      </c>
      <c r="D600" s="7" t="n">
        <v>1</v>
      </c>
      <c r="E600" s="15" t="s">
        <v>1975</v>
      </c>
      <c r="F600" s="15"/>
      <c r="G600" s="15"/>
    </row>
    <row r="601" customFormat="false" ht="15" hidden="false" customHeight="false" outlineLevel="0" collapsed="false">
      <c r="A601" s="7" t="s">
        <v>1967</v>
      </c>
      <c r="B601" s="8" t="s">
        <v>2547</v>
      </c>
      <c r="C601" s="8" t="s">
        <v>2546</v>
      </c>
      <c r="D601" s="7" t="n">
        <v>1</v>
      </c>
      <c r="E601" s="15" t="s">
        <v>2545</v>
      </c>
      <c r="F601" s="15"/>
      <c r="G601" s="15"/>
    </row>
    <row r="602" customFormat="false" ht="29.85" hidden="false" customHeight="false" outlineLevel="0" collapsed="false">
      <c r="A602" s="7" t="s">
        <v>1967</v>
      </c>
      <c r="B602" s="8" t="s">
        <v>1203</v>
      </c>
      <c r="C602" s="8" t="s">
        <v>1202</v>
      </c>
      <c r="D602" s="7" t="n">
        <v>2</v>
      </c>
      <c r="E602" s="15" t="s">
        <v>2797</v>
      </c>
      <c r="F602" s="13" t="s">
        <v>1204</v>
      </c>
      <c r="G602" s="14" t="s">
        <v>1205</v>
      </c>
    </row>
    <row r="603" customFormat="false" ht="15" hidden="false" customHeight="false" outlineLevel="0" collapsed="false">
      <c r="A603" s="7" t="s">
        <v>1967</v>
      </c>
      <c r="B603" s="8" t="s">
        <v>2608</v>
      </c>
      <c r="C603" s="8" t="s">
        <v>2607</v>
      </c>
      <c r="D603" s="7" t="n">
        <v>1</v>
      </c>
      <c r="E603" s="15" t="s">
        <v>2606</v>
      </c>
      <c r="F603" s="15"/>
      <c r="G603" s="15"/>
    </row>
    <row r="604" customFormat="false" ht="15" hidden="false" customHeight="false" outlineLevel="0" collapsed="false">
      <c r="A604" s="7" t="s">
        <v>1967</v>
      </c>
      <c r="B604" s="8" t="s">
        <v>2700</v>
      </c>
      <c r="C604" s="8" t="s">
        <v>2699</v>
      </c>
      <c r="D604" s="7" t="n">
        <v>1</v>
      </c>
      <c r="E604" s="15" t="s">
        <v>2698</v>
      </c>
      <c r="F604" s="15"/>
      <c r="G604" s="15"/>
    </row>
    <row r="605" customFormat="false" ht="29.85" hidden="false" customHeight="false" outlineLevel="0" collapsed="false">
      <c r="A605" s="7" t="s">
        <v>1967</v>
      </c>
      <c r="B605" s="8" t="s">
        <v>649</v>
      </c>
      <c r="C605" s="8" t="s">
        <v>648</v>
      </c>
      <c r="D605" s="7" t="n">
        <v>1</v>
      </c>
      <c r="E605" s="15" t="s">
        <v>2544</v>
      </c>
      <c r="F605" s="13" t="s">
        <v>56</v>
      </c>
      <c r="G605" s="13" t="s">
        <v>650</v>
      </c>
    </row>
    <row r="606" customFormat="false" ht="15" hidden="false" customHeight="false" outlineLevel="0" collapsed="false">
      <c r="A606" s="7" t="s">
        <v>1967</v>
      </c>
      <c r="B606" s="8" t="s">
        <v>2567</v>
      </c>
      <c r="C606" s="8" t="s">
        <v>2566</v>
      </c>
      <c r="D606" s="7" t="n">
        <v>2</v>
      </c>
      <c r="E606" s="15" t="s">
        <v>2798</v>
      </c>
      <c r="F606" s="13" t="s">
        <v>87</v>
      </c>
      <c r="G606" s="14"/>
    </row>
    <row r="607" customFormat="false" ht="15" hidden="false" customHeight="false" outlineLevel="0" collapsed="false">
      <c r="A607" s="7" t="s">
        <v>1967</v>
      </c>
      <c r="B607" s="8" t="s">
        <v>2431</v>
      </c>
      <c r="C607" s="8" t="s">
        <v>2430</v>
      </c>
      <c r="D607" s="7" t="n">
        <v>2</v>
      </c>
      <c r="E607" s="15" t="s">
        <v>2799</v>
      </c>
      <c r="F607" s="13" t="s">
        <v>87</v>
      </c>
      <c r="G607" s="14"/>
    </row>
    <row r="608" customFormat="false" ht="15" hidden="false" customHeight="false" outlineLevel="0" collapsed="false">
      <c r="A608" s="7" t="s">
        <v>1967</v>
      </c>
      <c r="B608" s="8" t="s">
        <v>2455</v>
      </c>
      <c r="C608" s="8" t="s">
        <v>2454</v>
      </c>
      <c r="D608" s="7" t="n">
        <v>1</v>
      </c>
      <c r="E608" s="15" t="s">
        <v>2453</v>
      </c>
      <c r="F608" s="15"/>
      <c r="G608" s="15"/>
    </row>
    <row r="609" customFormat="false" ht="15" hidden="false" customHeight="false" outlineLevel="0" collapsed="false">
      <c r="A609" s="7" t="s">
        <v>1967</v>
      </c>
      <c r="B609" s="8" t="s">
        <v>2372</v>
      </c>
      <c r="C609" s="8" t="s">
        <v>2371</v>
      </c>
      <c r="D609" s="7" t="n">
        <v>1</v>
      </c>
      <c r="E609" s="15" t="s">
        <v>2370</v>
      </c>
      <c r="F609" s="15"/>
      <c r="G609" s="15"/>
    </row>
    <row r="610" customFormat="false" ht="15" hidden="false" customHeight="false" outlineLevel="0" collapsed="false">
      <c r="A610" s="7" t="s">
        <v>1967</v>
      </c>
      <c r="B610" s="8" t="s">
        <v>1989</v>
      </c>
      <c r="C610" s="8" t="s">
        <v>1988</v>
      </c>
      <c r="D610" s="7" t="n">
        <v>1</v>
      </c>
      <c r="E610" s="15" t="s">
        <v>1987</v>
      </c>
      <c r="F610" s="15"/>
      <c r="G610" s="15"/>
    </row>
    <row r="611" customFormat="false" ht="15" hidden="false" customHeight="false" outlineLevel="0" collapsed="false">
      <c r="A611" s="7" t="s">
        <v>1967</v>
      </c>
      <c r="B611" s="8" t="s">
        <v>2109</v>
      </c>
      <c r="C611" s="8" t="s">
        <v>2108</v>
      </c>
      <c r="D611" s="7" t="n">
        <v>1</v>
      </c>
      <c r="E611" s="15" t="s">
        <v>2107</v>
      </c>
      <c r="F611" s="15"/>
      <c r="G611" s="15"/>
    </row>
    <row r="612" customFormat="false" ht="15" hidden="false" customHeight="false" outlineLevel="0" collapsed="false">
      <c r="A612" s="7" t="s">
        <v>1967</v>
      </c>
      <c r="B612" s="8" t="s">
        <v>2192</v>
      </c>
      <c r="C612" s="8" t="s">
        <v>2191</v>
      </c>
      <c r="D612" s="7" t="n">
        <v>2</v>
      </c>
      <c r="E612" s="15" t="s">
        <v>2800</v>
      </c>
      <c r="F612" s="13" t="s">
        <v>87</v>
      </c>
      <c r="G612" s="14"/>
    </row>
    <row r="613" customFormat="false" ht="15" hidden="false" customHeight="false" outlineLevel="0" collapsed="false">
      <c r="A613" s="7" t="s">
        <v>1967</v>
      </c>
      <c r="B613" s="8" t="s">
        <v>2253</v>
      </c>
      <c r="C613" s="8" t="s">
        <v>2252</v>
      </c>
      <c r="D613" s="7" t="n">
        <v>1</v>
      </c>
      <c r="E613" s="15" t="s">
        <v>2251</v>
      </c>
      <c r="F613" s="15"/>
      <c r="G613" s="15"/>
    </row>
    <row r="614" customFormat="false" ht="15" hidden="false" customHeight="false" outlineLevel="0" collapsed="false">
      <c r="A614" s="7" t="s">
        <v>1967</v>
      </c>
      <c r="B614" s="8" t="s">
        <v>2034</v>
      </c>
      <c r="C614" s="8" t="s">
        <v>2033</v>
      </c>
      <c r="D614" s="7" t="n">
        <v>1</v>
      </c>
      <c r="E614" s="15" t="s">
        <v>2030</v>
      </c>
      <c r="F614" s="15"/>
      <c r="G614" s="15"/>
    </row>
    <row r="615" customFormat="false" ht="15" hidden="false" customHeight="false" outlineLevel="0" collapsed="false">
      <c r="A615" s="7" t="s">
        <v>1967</v>
      </c>
      <c r="B615" s="8" t="s">
        <v>2111</v>
      </c>
      <c r="C615" s="8" t="s">
        <v>2110</v>
      </c>
      <c r="D615" s="7" t="n">
        <v>2</v>
      </c>
      <c r="E615" s="15" t="s">
        <v>2801</v>
      </c>
      <c r="F615" s="13" t="s">
        <v>87</v>
      </c>
      <c r="G615" s="14"/>
    </row>
    <row r="616" customFormat="false" ht="15" hidden="false" customHeight="false" outlineLevel="0" collapsed="false">
      <c r="A616" s="7" t="s">
        <v>1967</v>
      </c>
      <c r="B616" s="8" t="s">
        <v>2228</v>
      </c>
      <c r="C616" s="8" t="s">
        <v>2227</v>
      </c>
      <c r="D616" s="7" t="n">
        <v>1</v>
      </c>
      <c r="E616" s="15" t="s">
        <v>2226</v>
      </c>
      <c r="F616" s="15"/>
      <c r="G616" s="15"/>
    </row>
    <row r="617" customFormat="false" ht="15" hidden="false" customHeight="false" outlineLevel="0" collapsed="false">
      <c r="A617" s="7" t="s">
        <v>1967</v>
      </c>
      <c r="B617" s="8" t="s">
        <v>2129</v>
      </c>
      <c r="C617" s="8" t="s">
        <v>2128</v>
      </c>
      <c r="D617" s="7" t="n">
        <v>1</v>
      </c>
      <c r="E617" s="15" t="s">
        <v>2127</v>
      </c>
      <c r="F617" s="15"/>
      <c r="G617" s="15"/>
    </row>
    <row r="618" customFormat="false" ht="15" hidden="false" customHeight="false" outlineLevel="0" collapsed="false">
      <c r="A618" s="7" t="s">
        <v>1967</v>
      </c>
      <c r="B618" s="8" t="s">
        <v>2501</v>
      </c>
      <c r="C618" s="8" t="s">
        <v>2500</v>
      </c>
      <c r="D618" s="7" t="n">
        <v>1</v>
      </c>
      <c r="E618" s="15" t="s">
        <v>2499</v>
      </c>
      <c r="F618" s="15"/>
      <c r="G618" s="15"/>
    </row>
    <row r="619" customFormat="false" ht="15" hidden="false" customHeight="false" outlineLevel="0" collapsed="false">
      <c r="A619" s="7" t="s">
        <v>1967</v>
      </c>
      <c r="B619" s="8" t="s">
        <v>2069</v>
      </c>
      <c r="C619" s="8" t="s">
        <v>2068</v>
      </c>
      <c r="D619" s="7" t="n">
        <v>1</v>
      </c>
      <c r="E619" s="15" t="s">
        <v>2067</v>
      </c>
      <c r="F619" s="15"/>
      <c r="G619" s="15"/>
    </row>
    <row r="620" customFormat="false" ht="15" hidden="false" customHeight="false" outlineLevel="0" collapsed="false">
      <c r="A620" s="7" t="s">
        <v>1967</v>
      </c>
      <c r="B620" s="8" t="s">
        <v>2418</v>
      </c>
      <c r="C620" s="8" t="s">
        <v>2416</v>
      </c>
      <c r="D620" s="7" t="n">
        <v>1</v>
      </c>
      <c r="E620" s="15" t="s">
        <v>2415</v>
      </c>
      <c r="F620" s="15"/>
      <c r="G620" s="15"/>
    </row>
    <row r="621" customFormat="false" ht="15" hidden="false" customHeight="false" outlineLevel="0" collapsed="false">
      <c r="A621" s="7" t="s">
        <v>1967</v>
      </c>
      <c r="B621" s="8" t="s">
        <v>2064</v>
      </c>
      <c r="C621" s="8" t="s">
        <v>2063</v>
      </c>
      <c r="D621" s="7" t="n">
        <v>1</v>
      </c>
      <c r="E621" s="15" t="s">
        <v>2062</v>
      </c>
      <c r="F621" s="15"/>
      <c r="G621" s="15"/>
    </row>
    <row r="622" customFormat="false" ht="15" hidden="false" customHeight="false" outlineLevel="0" collapsed="false">
      <c r="A622" s="7" t="s">
        <v>1967</v>
      </c>
      <c r="B622" s="8" t="s">
        <v>2172</v>
      </c>
      <c r="C622" s="8" t="s">
        <v>2171</v>
      </c>
      <c r="D622" s="7" t="n">
        <v>1</v>
      </c>
      <c r="E622" s="15" t="s">
        <v>2170</v>
      </c>
      <c r="F622" s="15"/>
      <c r="G622" s="15"/>
    </row>
    <row r="623" customFormat="false" ht="15" hidden="false" customHeight="false" outlineLevel="0" collapsed="false">
      <c r="A623" s="7" t="s">
        <v>1967</v>
      </c>
      <c r="B623" s="8" t="s">
        <v>2399</v>
      </c>
      <c r="C623" s="8" t="s">
        <v>2398</v>
      </c>
      <c r="D623" s="7" t="n">
        <v>1</v>
      </c>
      <c r="E623" s="15" t="s">
        <v>2397</v>
      </c>
      <c r="F623" s="15"/>
      <c r="G623" s="15"/>
    </row>
    <row r="624" customFormat="false" ht="15" hidden="false" customHeight="false" outlineLevel="0" collapsed="false">
      <c r="A624" s="7" t="s">
        <v>1967</v>
      </c>
      <c r="B624" s="8" t="s">
        <v>2213</v>
      </c>
      <c r="C624" s="8" t="s">
        <v>2211</v>
      </c>
      <c r="D624" s="7" t="n">
        <v>1</v>
      </c>
      <c r="E624" s="15" t="s">
        <v>2210</v>
      </c>
      <c r="F624" s="15"/>
      <c r="G624" s="15"/>
    </row>
    <row r="625" customFormat="false" ht="15" hidden="false" customHeight="false" outlineLevel="0" collapsed="false">
      <c r="A625" s="7" t="s">
        <v>1967</v>
      </c>
      <c r="B625" s="8" t="s">
        <v>2421</v>
      </c>
      <c r="C625" s="8" t="s">
        <v>2420</v>
      </c>
      <c r="D625" s="7" t="n">
        <v>1</v>
      </c>
      <c r="E625" s="15" t="s">
        <v>2419</v>
      </c>
      <c r="F625" s="15"/>
      <c r="G625" s="15"/>
    </row>
    <row r="626" customFormat="false" ht="15" hidden="false" customHeight="false" outlineLevel="0" collapsed="false">
      <c r="A626" s="7" t="s">
        <v>1967</v>
      </c>
      <c r="B626" s="8" t="s">
        <v>2703</v>
      </c>
      <c r="C626" s="8" t="s">
        <v>2702</v>
      </c>
      <c r="D626" s="7" t="n">
        <v>1</v>
      </c>
      <c r="E626" s="15" t="s">
        <v>2701</v>
      </c>
      <c r="F626" s="15"/>
      <c r="G626" s="15"/>
    </row>
    <row r="627" customFormat="false" ht="15" hidden="false" customHeight="false" outlineLevel="0" collapsed="false">
      <c r="A627" s="7" t="s">
        <v>1967</v>
      </c>
      <c r="B627" s="8" t="s">
        <v>1244</v>
      </c>
      <c r="C627" s="8" t="s">
        <v>1243</v>
      </c>
      <c r="D627" s="7" t="n">
        <v>1</v>
      </c>
      <c r="E627" s="15" t="s">
        <v>2051</v>
      </c>
      <c r="F627" s="13" t="s">
        <v>1204</v>
      </c>
      <c r="G627" s="14"/>
    </row>
    <row r="628" customFormat="false" ht="15" hidden="false" customHeight="false" outlineLevel="0" collapsed="false">
      <c r="A628" s="7" t="s">
        <v>1967</v>
      </c>
      <c r="B628" s="8" t="s">
        <v>2258</v>
      </c>
      <c r="C628" s="8" t="s">
        <v>2257</v>
      </c>
      <c r="D628" s="7" t="n">
        <v>1</v>
      </c>
      <c r="E628" s="15" t="s">
        <v>2256</v>
      </c>
      <c r="F628" s="14" t="s">
        <v>500</v>
      </c>
      <c r="G628" s="14" t="s">
        <v>2259</v>
      </c>
    </row>
    <row r="629" customFormat="false" ht="15" hidden="false" customHeight="false" outlineLevel="0" collapsed="false">
      <c r="A629" s="7" t="s">
        <v>1967</v>
      </c>
      <c r="B629" s="8" t="s">
        <v>1970</v>
      </c>
      <c r="C629" s="8" t="s">
        <v>1969</v>
      </c>
      <c r="D629" s="7" t="n">
        <v>1</v>
      </c>
      <c r="E629" s="15" t="s">
        <v>1968</v>
      </c>
      <c r="F629" s="15"/>
      <c r="G629" s="15"/>
    </row>
    <row r="630" customFormat="false" ht="15" hidden="false" customHeight="false" outlineLevel="0" collapsed="false">
      <c r="A630" s="7" t="s">
        <v>1967</v>
      </c>
      <c r="B630" s="8" t="s">
        <v>2437</v>
      </c>
      <c r="C630" s="8" t="s">
        <v>2436</v>
      </c>
      <c r="D630" s="7" t="n">
        <v>1</v>
      </c>
      <c r="E630" s="15" t="s">
        <v>2435</v>
      </c>
      <c r="F630" s="15"/>
      <c r="G630" s="15"/>
    </row>
    <row r="631" customFormat="false" ht="15" hidden="false" customHeight="false" outlineLevel="0" collapsed="false">
      <c r="A631" s="7" t="s">
        <v>1967</v>
      </c>
      <c r="B631" s="8" t="s">
        <v>2330</v>
      </c>
      <c r="C631" s="8" t="s">
        <v>2328</v>
      </c>
      <c r="D631" s="7" t="n">
        <v>1</v>
      </c>
      <c r="E631" s="15" t="s">
        <v>2327</v>
      </c>
      <c r="F631" s="15"/>
      <c r="G631" s="15"/>
    </row>
    <row r="632" customFormat="false" ht="15" hidden="false" customHeight="false" outlineLevel="0" collapsed="false">
      <c r="A632" s="7" t="s">
        <v>1967</v>
      </c>
      <c r="B632" s="8" t="s">
        <v>2133</v>
      </c>
      <c r="C632" s="8" t="s">
        <v>2131</v>
      </c>
      <c r="D632" s="7" t="n">
        <v>1</v>
      </c>
      <c r="E632" s="15" t="s">
        <v>2130</v>
      </c>
      <c r="F632" s="15"/>
      <c r="G632" s="15"/>
    </row>
    <row r="633" customFormat="false" ht="15" hidden="false" customHeight="false" outlineLevel="0" collapsed="false">
      <c r="A633" s="7" t="s">
        <v>1967</v>
      </c>
      <c r="B633" s="8" t="s">
        <v>2264</v>
      </c>
      <c r="C633" s="8" t="s">
        <v>2263</v>
      </c>
      <c r="D633" s="7" t="n">
        <v>1</v>
      </c>
      <c r="E633" s="15" t="s">
        <v>2260</v>
      </c>
      <c r="F633" s="15"/>
      <c r="G633" s="15"/>
    </row>
    <row r="634" customFormat="false" ht="15" hidden="false" customHeight="false" outlineLevel="0" collapsed="false">
      <c r="A634" s="7" t="s">
        <v>1967</v>
      </c>
      <c r="B634" s="8" t="s">
        <v>2667</v>
      </c>
      <c r="C634" s="8" t="s">
        <v>2666</v>
      </c>
      <c r="D634" s="7" t="n">
        <v>1</v>
      </c>
      <c r="E634" s="15" t="s">
        <v>2665</v>
      </c>
      <c r="F634" s="15"/>
      <c r="G634" s="15"/>
    </row>
    <row r="635" customFormat="false" ht="15" hidden="false" customHeight="false" outlineLevel="0" collapsed="false">
      <c r="A635" s="7" t="s">
        <v>1967</v>
      </c>
      <c r="B635" s="8" t="s">
        <v>2593</v>
      </c>
      <c r="C635" s="8" t="s">
        <v>2592</v>
      </c>
      <c r="D635" s="7" t="n">
        <v>1</v>
      </c>
      <c r="E635" s="15" t="s">
        <v>2591</v>
      </c>
      <c r="F635" s="15"/>
      <c r="G635" s="15"/>
    </row>
    <row r="636" customFormat="false" ht="15" hidden="false" customHeight="false" outlineLevel="0" collapsed="false">
      <c r="A636" s="7" t="s">
        <v>1967</v>
      </c>
      <c r="B636" s="8" t="s">
        <v>2482</v>
      </c>
      <c r="C636" s="8" t="s">
        <v>2481</v>
      </c>
      <c r="D636" s="7" t="n">
        <v>1</v>
      </c>
      <c r="E636" s="15" t="s">
        <v>2480</v>
      </c>
      <c r="F636" s="15"/>
      <c r="G636" s="15"/>
    </row>
    <row r="637" customFormat="false" ht="15" hidden="false" customHeight="false" outlineLevel="0" collapsed="false">
      <c r="A637" s="7" t="s">
        <v>1967</v>
      </c>
      <c r="B637" s="8" t="s">
        <v>2387</v>
      </c>
      <c r="C637" s="8" t="s">
        <v>2386</v>
      </c>
      <c r="D637" s="7" t="n">
        <v>1</v>
      </c>
      <c r="E637" s="15" t="s">
        <v>2385</v>
      </c>
      <c r="F637" s="15"/>
      <c r="G637" s="15"/>
    </row>
    <row r="638" customFormat="false" ht="15" hidden="false" customHeight="false" outlineLevel="0" collapsed="false">
      <c r="A638" s="7" t="s">
        <v>1967</v>
      </c>
      <c r="B638" s="8" t="s">
        <v>2145</v>
      </c>
      <c r="C638" s="8" t="s">
        <v>2144</v>
      </c>
      <c r="D638" s="7" t="n">
        <v>1</v>
      </c>
      <c r="E638" s="15" t="s">
        <v>2143</v>
      </c>
      <c r="F638" s="15"/>
      <c r="G638" s="15"/>
    </row>
    <row r="639" customFormat="false" ht="15" hidden="false" customHeight="false" outlineLevel="0" collapsed="false">
      <c r="A639" s="7" t="s">
        <v>1967</v>
      </c>
      <c r="B639" s="8" t="s">
        <v>2428</v>
      </c>
      <c r="C639" s="8" t="s">
        <v>2426</v>
      </c>
      <c r="D639" s="7" t="n">
        <v>1</v>
      </c>
      <c r="E639" s="15" t="s">
        <v>2425</v>
      </c>
      <c r="F639" s="15"/>
      <c r="G639" s="15"/>
    </row>
    <row r="640" customFormat="false" ht="15" hidden="false" customHeight="false" outlineLevel="0" collapsed="false">
      <c r="A640" s="7" t="s">
        <v>1967</v>
      </c>
      <c r="B640" s="8" t="s">
        <v>2391</v>
      </c>
      <c r="C640" s="8" t="s">
        <v>2389</v>
      </c>
      <c r="D640" s="7" t="n">
        <v>1</v>
      </c>
      <c r="E640" s="15" t="s">
        <v>2388</v>
      </c>
      <c r="F640" s="15"/>
      <c r="G640" s="15"/>
    </row>
    <row r="641" customFormat="false" ht="15" hidden="false" customHeight="false" outlineLevel="0" collapsed="false">
      <c r="A641" s="7" t="s">
        <v>1967</v>
      </c>
      <c r="B641" s="8" t="s">
        <v>2620</v>
      </c>
      <c r="C641" s="8" t="s">
        <v>2618</v>
      </c>
      <c r="D641" s="7" t="n">
        <v>1</v>
      </c>
      <c r="E641" s="15" t="s">
        <v>2617</v>
      </c>
      <c r="F641" s="13" t="s">
        <v>74</v>
      </c>
      <c r="G641" s="14"/>
    </row>
    <row r="642" customFormat="false" ht="15" hidden="false" customHeight="false" outlineLevel="0" collapsed="false">
      <c r="A642" s="7" t="s">
        <v>1967</v>
      </c>
      <c r="B642" s="8" t="s">
        <v>2225</v>
      </c>
      <c r="C642" s="8" t="s">
        <v>2224</v>
      </c>
      <c r="D642" s="7" t="n">
        <v>1</v>
      </c>
      <c r="E642" s="15" t="s">
        <v>2223</v>
      </c>
      <c r="F642" s="15"/>
      <c r="G642" s="15"/>
    </row>
    <row r="643" customFormat="false" ht="15" hidden="false" customHeight="false" outlineLevel="0" collapsed="false">
      <c r="A643" s="7" t="s">
        <v>1967</v>
      </c>
      <c r="B643" s="8" t="s">
        <v>2017</v>
      </c>
      <c r="C643" s="8" t="s">
        <v>2016</v>
      </c>
      <c r="D643" s="7" t="n">
        <v>2</v>
      </c>
      <c r="E643" s="15" t="s">
        <v>2802</v>
      </c>
      <c r="F643" s="13" t="s">
        <v>87</v>
      </c>
      <c r="G643" s="14"/>
    </row>
    <row r="644" customFormat="false" ht="15" hidden="false" customHeight="false" outlineLevel="0" collapsed="false">
      <c r="A644" s="7" t="s">
        <v>1967</v>
      </c>
      <c r="B644" s="8" t="s">
        <v>2274</v>
      </c>
      <c r="C644" s="8" t="s">
        <v>2273</v>
      </c>
      <c r="D644" s="7" t="n">
        <v>1</v>
      </c>
      <c r="E644" s="15" t="s">
        <v>2272</v>
      </c>
      <c r="F644" s="15"/>
      <c r="G644" s="15"/>
    </row>
    <row r="645" customFormat="false" ht="15" hidden="false" customHeight="false" outlineLevel="0" collapsed="false">
      <c r="A645" s="7" t="s">
        <v>1967</v>
      </c>
      <c r="B645" s="8" t="s">
        <v>2479</v>
      </c>
      <c r="C645" s="8" t="s">
        <v>2478</v>
      </c>
      <c r="D645" s="7" t="n">
        <v>2</v>
      </c>
      <c r="E645" s="15" t="s">
        <v>2803</v>
      </c>
      <c r="F645" s="13" t="s">
        <v>87</v>
      </c>
      <c r="G645" s="14"/>
    </row>
    <row r="646" customFormat="false" ht="15" hidden="false" customHeight="false" outlineLevel="0" collapsed="false">
      <c r="A646" s="7" t="s">
        <v>1967</v>
      </c>
      <c r="B646" s="8" t="s">
        <v>2550</v>
      </c>
      <c r="C646" s="8" t="s">
        <v>2549</v>
      </c>
      <c r="D646" s="7" t="n">
        <v>1</v>
      </c>
      <c r="E646" s="15" t="s">
        <v>2548</v>
      </c>
      <c r="F646" s="13" t="s">
        <v>74</v>
      </c>
      <c r="G646" s="14"/>
    </row>
    <row r="647" customFormat="false" ht="15" hidden="false" customHeight="false" outlineLevel="0" collapsed="false">
      <c r="A647" s="7" t="s">
        <v>1967</v>
      </c>
      <c r="B647" s="8" t="s">
        <v>1986</v>
      </c>
      <c r="C647" s="8" t="s">
        <v>1985</v>
      </c>
      <c r="D647" s="7" t="n">
        <v>1</v>
      </c>
      <c r="E647" s="15" t="s">
        <v>1984</v>
      </c>
      <c r="F647" s="15"/>
      <c r="G647" s="15"/>
    </row>
    <row r="648" customFormat="false" ht="15" hidden="false" customHeight="false" outlineLevel="0" collapsed="false">
      <c r="A648" s="7" t="s">
        <v>1967</v>
      </c>
      <c r="B648" s="8" t="s">
        <v>2157</v>
      </c>
      <c r="C648" s="8" t="s">
        <v>2156</v>
      </c>
      <c r="D648" s="7" t="n">
        <v>1</v>
      </c>
      <c r="E648" s="15" t="s">
        <v>2155</v>
      </c>
      <c r="F648" s="15"/>
      <c r="G648" s="15"/>
    </row>
    <row r="649" customFormat="false" ht="15" hidden="false" customHeight="false" outlineLevel="0" collapsed="false">
      <c r="A649" s="7" t="s">
        <v>1967</v>
      </c>
      <c r="B649" s="8" t="s">
        <v>2615</v>
      </c>
      <c r="C649" s="8" t="s">
        <v>2614</v>
      </c>
      <c r="D649" s="7" t="n">
        <v>1</v>
      </c>
      <c r="E649" s="15" t="s">
        <v>2613</v>
      </c>
      <c r="F649" s="14"/>
      <c r="G649" s="14" t="s">
        <v>2616</v>
      </c>
    </row>
    <row r="650" customFormat="false" ht="15" hidden="false" customHeight="false" outlineLevel="0" collapsed="false">
      <c r="A650" s="7" t="s">
        <v>1967</v>
      </c>
      <c r="B650" s="8" t="s">
        <v>2558</v>
      </c>
      <c r="C650" s="8" t="s">
        <v>2556</v>
      </c>
      <c r="D650" s="7" t="n">
        <v>1</v>
      </c>
      <c r="E650" s="15" t="s">
        <v>2555</v>
      </c>
      <c r="F650" s="14" t="s">
        <v>2559</v>
      </c>
      <c r="G650" s="14"/>
    </row>
    <row r="651" customFormat="false" ht="15" hidden="false" customHeight="false" outlineLevel="0" collapsed="false">
      <c r="A651" s="7" t="s">
        <v>1967</v>
      </c>
      <c r="B651" s="8" t="s">
        <v>2160</v>
      </c>
      <c r="C651" s="8" t="s">
        <v>2159</v>
      </c>
      <c r="D651" s="7" t="n">
        <v>1</v>
      </c>
      <c r="E651" s="15" t="s">
        <v>2158</v>
      </c>
      <c r="F651" s="15"/>
      <c r="G651" s="15"/>
    </row>
    <row r="652" customFormat="false" ht="15" hidden="false" customHeight="false" outlineLevel="0" collapsed="false">
      <c r="A652" s="7" t="s">
        <v>1967</v>
      </c>
      <c r="B652" s="8" t="s">
        <v>2528</v>
      </c>
      <c r="C652" s="8" t="s">
        <v>2527</v>
      </c>
      <c r="D652" s="7" t="n">
        <v>1</v>
      </c>
      <c r="E652" s="15" t="s">
        <v>2526</v>
      </c>
      <c r="F652" s="15"/>
      <c r="G652" s="15"/>
    </row>
    <row r="653" customFormat="false" ht="15" hidden="false" customHeight="false" outlineLevel="0" collapsed="false">
      <c r="A653" s="7" t="s">
        <v>1967</v>
      </c>
      <c r="B653" s="8" t="s">
        <v>2262</v>
      </c>
      <c r="C653" s="8" t="s">
        <v>2261</v>
      </c>
      <c r="D653" s="7" t="n">
        <v>2</v>
      </c>
      <c r="E653" s="15" t="s">
        <v>2804</v>
      </c>
      <c r="F653" s="13" t="s">
        <v>87</v>
      </c>
      <c r="G653" s="14"/>
    </row>
    <row r="654" customFormat="false" ht="15" hidden="false" customHeight="false" outlineLevel="0" collapsed="false">
      <c r="A654" s="7" t="s">
        <v>1967</v>
      </c>
      <c r="B654" s="8" t="s">
        <v>2655</v>
      </c>
      <c r="C654" s="8" t="s">
        <v>2654</v>
      </c>
      <c r="D654" s="7" t="n">
        <v>1</v>
      </c>
      <c r="E654" s="15" t="s">
        <v>2653</v>
      </c>
      <c r="F654" s="15"/>
      <c r="G654" s="15"/>
    </row>
    <row r="655" customFormat="false" ht="15" hidden="false" customHeight="false" outlineLevel="0" collapsed="false">
      <c r="A655" s="7" t="s">
        <v>1967</v>
      </c>
      <c r="B655" s="8" t="s">
        <v>2476</v>
      </c>
      <c r="C655" s="8" t="s">
        <v>2475</v>
      </c>
      <c r="D655" s="7" t="n">
        <v>2</v>
      </c>
      <c r="E655" s="15" t="s">
        <v>2805</v>
      </c>
      <c r="F655" s="13" t="s">
        <v>87</v>
      </c>
      <c r="G655" s="14"/>
    </row>
    <row r="656" customFormat="false" ht="15" hidden="false" customHeight="false" outlineLevel="0" collapsed="false">
      <c r="A656" s="7" t="s">
        <v>1967</v>
      </c>
      <c r="B656" s="8" t="s">
        <v>2007</v>
      </c>
      <c r="C656" s="8" t="s">
        <v>2006</v>
      </c>
      <c r="D656" s="7" t="n">
        <v>1</v>
      </c>
      <c r="E656" s="15" t="s">
        <v>2005</v>
      </c>
      <c r="F656" s="15"/>
      <c r="G656" s="15"/>
    </row>
    <row r="657" customFormat="false" ht="15" hidden="false" customHeight="false" outlineLevel="0" collapsed="false">
      <c r="A657" s="7" t="s">
        <v>1967</v>
      </c>
      <c r="B657" s="8" t="s">
        <v>2175</v>
      </c>
      <c r="C657" s="8" t="s">
        <v>2174</v>
      </c>
      <c r="D657" s="7" t="n">
        <v>1</v>
      </c>
      <c r="E657" s="15" t="s">
        <v>2173</v>
      </c>
      <c r="F657" s="15"/>
      <c r="G657" s="15"/>
    </row>
    <row r="658" customFormat="false" ht="15" hidden="false" customHeight="false" outlineLevel="0" collapsed="false">
      <c r="A658" s="7" t="s">
        <v>1967</v>
      </c>
      <c r="B658" s="8" t="s">
        <v>2066</v>
      </c>
      <c r="C658" s="8" t="s">
        <v>2065</v>
      </c>
      <c r="D658" s="7" t="n">
        <v>1</v>
      </c>
      <c r="E658" s="15" t="s">
        <v>2062</v>
      </c>
      <c r="F658" s="15"/>
      <c r="G658" s="15"/>
    </row>
    <row r="659" customFormat="false" ht="15" hidden="false" customHeight="false" outlineLevel="0" collapsed="false">
      <c r="A659" s="7" t="s">
        <v>1967</v>
      </c>
      <c r="B659" s="8" t="s">
        <v>2046</v>
      </c>
      <c r="C659" s="8" t="s">
        <v>2045</v>
      </c>
      <c r="D659" s="7" t="n">
        <v>1</v>
      </c>
      <c r="E659" s="15" t="s">
        <v>2044</v>
      </c>
      <c r="F659" s="15"/>
      <c r="G659" s="15"/>
    </row>
    <row r="660" customFormat="false" ht="15" hidden="false" customHeight="false" outlineLevel="0" collapsed="false">
      <c r="A660" s="7" t="s">
        <v>1967</v>
      </c>
      <c r="B660" s="8" t="s">
        <v>2369</v>
      </c>
      <c r="C660" s="8" t="s">
        <v>2368</v>
      </c>
      <c r="D660" s="7" t="n">
        <v>1</v>
      </c>
      <c r="E660" s="15" t="s">
        <v>2367</v>
      </c>
      <c r="F660" s="15"/>
      <c r="G660" s="15"/>
    </row>
    <row r="661" customFormat="false" ht="15" hidden="false" customHeight="false" outlineLevel="0" collapsed="false">
      <c r="A661" s="7" t="s">
        <v>1967</v>
      </c>
      <c r="B661" s="8" t="s">
        <v>2335</v>
      </c>
      <c r="C661" s="8" t="s">
        <v>2333</v>
      </c>
      <c r="D661" s="7" t="n">
        <v>1</v>
      </c>
      <c r="E661" s="15" t="s">
        <v>2332</v>
      </c>
      <c r="F661" s="13" t="s">
        <v>74</v>
      </c>
      <c r="G661" s="14"/>
    </row>
    <row r="662" customFormat="false" ht="15" hidden="false" customHeight="false" outlineLevel="0" collapsed="false">
      <c r="A662" s="7" t="s">
        <v>1967</v>
      </c>
      <c r="B662" s="8" t="s">
        <v>2597</v>
      </c>
      <c r="C662" s="8" t="s">
        <v>2596</v>
      </c>
      <c r="D662" s="7" t="n">
        <v>1</v>
      </c>
      <c r="E662" s="15" t="s">
        <v>2595</v>
      </c>
      <c r="F662" s="15"/>
      <c r="G662" s="15"/>
    </row>
    <row r="663" customFormat="false" ht="15" hidden="false" customHeight="false" outlineLevel="0" collapsed="false">
      <c r="A663" s="7" t="s">
        <v>1967</v>
      </c>
      <c r="B663" s="8" t="s">
        <v>2452</v>
      </c>
      <c r="C663" s="8" t="s">
        <v>2451</v>
      </c>
      <c r="D663" s="7" t="n">
        <v>1</v>
      </c>
      <c r="E663" s="15" t="s">
        <v>2450</v>
      </c>
      <c r="F663" s="15"/>
      <c r="G663" s="15"/>
    </row>
    <row r="664" customFormat="false" ht="15" hidden="false" customHeight="false" outlineLevel="0" collapsed="false">
      <c r="A664" s="7" t="s">
        <v>1967</v>
      </c>
      <c r="B664" s="8" t="s">
        <v>2587</v>
      </c>
      <c r="C664" s="8" t="s">
        <v>2586</v>
      </c>
      <c r="D664" s="7" t="n">
        <v>2</v>
      </c>
      <c r="E664" s="15" t="s">
        <v>2806</v>
      </c>
      <c r="F664" s="13" t="s">
        <v>87</v>
      </c>
      <c r="G664" s="14"/>
    </row>
    <row r="665" customFormat="false" ht="15" hidden="false" customHeight="false" outlineLevel="0" collapsed="false">
      <c r="A665" s="7" t="s">
        <v>1967</v>
      </c>
      <c r="B665" s="8" t="s">
        <v>2627</v>
      </c>
      <c r="C665" s="8" t="s">
        <v>2625</v>
      </c>
      <c r="D665" s="7" t="n">
        <v>1</v>
      </c>
      <c r="E665" s="15" t="s">
        <v>2624</v>
      </c>
      <c r="F665" s="13" t="s">
        <v>74</v>
      </c>
      <c r="G665" s="14"/>
    </row>
    <row r="666" customFormat="false" ht="15" hidden="false" customHeight="false" outlineLevel="0" collapsed="false">
      <c r="A666" s="7" t="s">
        <v>1967</v>
      </c>
      <c r="B666" s="8" t="s">
        <v>2697</v>
      </c>
      <c r="C666" s="8" t="s">
        <v>2696</v>
      </c>
      <c r="D666" s="7" t="n">
        <v>1</v>
      </c>
      <c r="E666" s="15" t="s">
        <v>2695</v>
      </c>
      <c r="F666" s="15"/>
      <c r="G666" s="15"/>
    </row>
    <row r="667" customFormat="false" ht="15" hidden="false" customHeight="false" outlineLevel="0" collapsed="false">
      <c r="A667" s="7" t="s">
        <v>1967</v>
      </c>
      <c r="B667" s="8" t="s">
        <v>2409</v>
      </c>
      <c r="C667" s="8" t="s">
        <v>2408</v>
      </c>
      <c r="D667" s="7" t="n">
        <v>1</v>
      </c>
      <c r="E667" s="15" t="s">
        <v>2404</v>
      </c>
      <c r="F667" s="14" t="s">
        <v>500</v>
      </c>
      <c r="G667" s="14" t="s">
        <v>2410</v>
      </c>
    </row>
    <row r="668" customFormat="false" ht="15" hidden="false" customHeight="false" outlineLevel="0" collapsed="false">
      <c r="A668" s="7" t="s">
        <v>1967</v>
      </c>
      <c r="B668" s="8" t="s">
        <v>2403</v>
      </c>
      <c r="C668" s="8" t="s">
        <v>2402</v>
      </c>
      <c r="D668" s="7" t="n">
        <v>1</v>
      </c>
      <c r="E668" s="15" t="s">
        <v>2401</v>
      </c>
      <c r="F668" s="13" t="s">
        <v>74</v>
      </c>
      <c r="G668" s="14"/>
    </row>
    <row r="669" customFormat="false" ht="15" hidden="false" customHeight="false" outlineLevel="0" collapsed="false">
      <c r="A669" s="7" t="s">
        <v>1967</v>
      </c>
      <c r="B669" s="8" t="s">
        <v>2216</v>
      </c>
      <c r="C669" s="8" t="s">
        <v>2215</v>
      </c>
      <c r="D669" s="7" t="n">
        <v>1</v>
      </c>
      <c r="E669" s="15" t="s">
        <v>2214</v>
      </c>
      <c r="F669" s="15"/>
      <c r="G669" s="15"/>
    </row>
    <row r="670" customFormat="false" ht="15" hidden="false" customHeight="false" outlineLevel="0" collapsed="false">
      <c r="A670" s="7" t="s">
        <v>1967</v>
      </c>
      <c r="B670" s="8" t="s">
        <v>2083</v>
      </c>
      <c r="C670" s="8" t="s">
        <v>2082</v>
      </c>
      <c r="D670" s="7" t="n">
        <v>1</v>
      </c>
      <c r="E670" s="15" t="s">
        <v>2081</v>
      </c>
      <c r="F670" s="15"/>
      <c r="G670" s="15"/>
    </row>
    <row r="671" customFormat="false" ht="15" hidden="false" customHeight="false" outlineLevel="0" collapsed="false">
      <c r="A671" s="7" t="s">
        <v>1967</v>
      </c>
      <c r="B671" s="8" t="s">
        <v>2424</v>
      </c>
      <c r="C671" s="8" t="s">
        <v>2423</v>
      </c>
      <c r="D671" s="7" t="n">
        <v>1</v>
      </c>
      <c r="E671" s="15" t="s">
        <v>2422</v>
      </c>
      <c r="F671" s="15"/>
      <c r="G671" s="15"/>
    </row>
    <row r="672" customFormat="false" ht="15" hidden="false" customHeight="false" outlineLevel="0" collapsed="false">
      <c r="A672" s="7" t="s">
        <v>1967</v>
      </c>
      <c r="B672" s="8" t="s">
        <v>2495</v>
      </c>
      <c r="C672" s="8" t="s">
        <v>2494</v>
      </c>
      <c r="D672" s="7" t="n">
        <v>1</v>
      </c>
      <c r="E672" s="15" t="s">
        <v>2493</v>
      </c>
      <c r="F672" s="15"/>
      <c r="G672" s="15"/>
    </row>
    <row r="673" customFormat="false" ht="15" hidden="false" customHeight="false" outlineLevel="0" collapsed="false">
      <c r="A673" s="7" t="s">
        <v>1967</v>
      </c>
      <c r="B673" s="8" t="s">
        <v>2202</v>
      </c>
      <c r="C673" s="8" t="s">
        <v>2201</v>
      </c>
      <c r="D673" s="7" t="n">
        <v>1</v>
      </c>
      <c r="E673" s="15" t="s">
        <v>2200</v>
      </c>
      <c r="F673" s="15"/>
      <c r="G673" s="15"/>
    </row>
    <row r="674" customFormat="false" ht="15" hidden="false" customHeight="false" outlineLevel="0" collapsed="false">
      <c r="A674" s="7" t="s">
        <v>1967</v>
      </c>
      <c r="B674" s="8" t="s">
        <v>2458</v>
      </c>
      <c r="C674" s="8" t="s">
        <v>2457</v>
      </c>
      <c r="D674" s="7" t="n">
        <v>2</v>
      </c>
      <c r="E674" s="15" t="s">
        <v>2807</v>
      </c>
      <c r="F674" s="13" t="s">
        <v>87</v>
      </c>
      <c r="G674" s="14"/>
    </row>
    <row r="675" customFormat="false" ht="15" hidden="false" customHeight="false" outlineLevel="0" collapsed="false">
      <c r="A675" s="7" t="s">
        <v>1967</v>
      </c>
      <c r="B675" s="8" t="s">
        <v>2461</v>
      </c>
      <c r="C675" s="8" t="s">
        <v>2460</v>
      </c>
      <c r="D675" s="7" t="n">
        <v>1</v>
      </c>
      <c r="E675" s="15" t="s">
        <v>2459</v>
      </c>
      <c r="F675" s="15"/>
      <c r="G675" s="15"/>
    </row>
    <row r="676" customFormat="false" ht="15" hidden="false" customHeight="false" outlineLevel="0" collapsed="false">
      <c r="A676" s="7" t="s">
        <v>1967</v>
      </c>
      <c r="B676" s="8" t="s">
        <v>2148</v>
      </c>
      <c r="C676" s="8" t="s">
        <v>2147</v>
      </c>
      <c r="D676" s="7" t="n">
        <v>1</v>
      </c>
      <c r="E676" s="15" t="s">
        <v>2146</v>
      </c>
      <c r="F676" s="15"/>
      <c r="G676" s="15"/>
    </row>
    <row r="677" customFormat="false" ht="15" hidden="false" customHeight="false" outlineLevel="0" collapsed="false">
      <c r="A677" s="7" t="s">
        <v>1967</v>
      </c>
      <c r="B677" s="8" t="s">
        <v>2571</v>
      </c>
      <c r="C677" s="8" t="s">
        <v>2570</v>
      </c>
      <c r="D677" s="7" t="n">
        <v>1</v>
      </c>
      <c r="E677" s="15" t="s">
        <v>2569</v>
      </c>
      <c r="F677" s="15"/>
      <c r="G677" s="15"/>
    </row>
    <row r="678" customFormat="false" ht="15" hidden="false" customHeight="false" outlineLevel="0" collapsed="false">
      <c r="A678" s="7" t="s">
        <v>1967</v>
      </c>
      <c r="B678" s="8" t="s">
        <v>2010</v>
      </c>
      <c r="C678" s="8" t="s">
        <v>2009</v>
      </c>
      <c r="D678" s="7" t="n">
        <v>1</v>
      </c>
      <c r="E678" s="15" t="s">
        <v>2008</v>
      </c>
      <c r="F678" s="15"/>
      <c r="G678" s="15"/>
    </row>
    <row r="679" customFormat="false" ht="15" hidden="false" customHeight="false" outlineLevel="0" collapsed="false">
      <c r="A679" s="7" t="s">
        <v>1967</v>
      </c>
      <c r="B679" s="8" t="s">
        <v>2103</v>
      </c>
      <c r="C679" s="8" t="s">
        <v>2102</v>
      </c>
      <c r="D679" s="7" t="n">
        <v>1</v>
      </c>
      <c r="E679" s="15" t="s">
        <v>2101</v>
      </c>
      <c r="F679" s="15"/>
      <c r="G679" s="15"/>
    </row>
    <row r="680" customFormat="false" ht="15" hidden="false" customHeight="false" outlineLevel="0" collapsed="false">
      <c r="A680" s="7" t="s">
        <v>1967</v>
      </c>
      <c r="B680" s="8" t="s">
        <v>2690</v>
      </c>
      <c r="C680" s="8" t="s">
        <v>2689</v>
      </c>
      <c r="D680" s="7" t="n">
        <v>1</v>
      </c>
      <c r="E680" s="15" t="s">
        <v>2688</v>
      </c>
      <c r="F680" s="15"/>
      <c r="G680" s="15"/>
    </row>
    <row r="681" customFormat="false" ht="15" hidden="false" customHeight="false" outlineLevel="0" collapsed="false">
      <c r="A681" s="7" t="s">
        <v>1967</v>
      </c>
      <c r="B681" s="8" t="s">
        <v>2574</v>
      </c>
      <c r="C681" s="8" t="s">
        <v>2573</v>
      </c>
      <c r="D681" s="7" t="n">
        <v>1</v>
      </c>
      <c r="E681" s="15" t="s">
        <v>2572</v>
      </c>
      <c r="F681" s="15"/>
      <c r="G681" s="15"/>
    </row>
    <row r="682" customFormat="false" ht="15" hidden="false" customHeight="false" outlineLevel="0" collapsed="false">
      <c r="A682" s="7" t="s">
        <v>1967</v>
      </c>
      <c r="B682" s="8" t="s">
        <v>2498</v>
      </c>
      <c r="C682" s="8" t="s">
        <v>2808</v>
      </c>
      <c r="D682" s="7" t="n">
        <v>2</v>
      </c>
      <c r="E682" s="15" t="s">
        <v>2809</v>
      </c>
      <c r="F682" s="13" t="s">
        <v>87</v>
      </c>
      <c r="G682" s="14"/>
    </row>
    <row r="683" customFormat="false" ht="15" hidden="false" customHeight="false" outlineLevel="0" collapsed="false">
      <c r="A683" s="7" t="s">
        <v>1967</v>
      </c>
      <c r="B683" s="8" t="s">
        <v>2338</v>
      </c>
      <c r="C683" s="8" t="s">
        <v>2337</v>
      </c>
      <c r="D683" s="7" t="n">
        <v>1</v>
      </c>
      <c r="E683" s="15" t="s">
        <v>2336</v>
      </c>
      <c r="F683" s="15"/>
      <c r="G683" s="15"/>
    </row>
    <row r="684" customFormat="false" ht="15" hidden="false" customHeight="false" outlineLevel="0" collapsed="false">
      <c r="A684" s="7" t="s">
        <v>1967</v>
      </c>
      <c r="B684" s="8" t="s">
        <v>2540</v>
      </c>
      <c r="C684" s="8" t="s">
        <v>2539</v>
      </c>
      <c r="D684" s="7" t="n">
        <v>1</v>
      </c>
      <c r="E684" s="15" t="s">
        <v>2538</v>
      </c>
      <c r="F684" s="15"/>
      <c r="G684" s="15"/>
    </row>
    <row r="685" customFormat="false" ht="29.85" hidden="false" customHeight="false" outlineLevel="0" collapsed="false">
      <c r="A685" s="7" t="s">
        <v>1967</v>
      </c>
      <c r="B685" s="8" t="s">
        <v>2137</v>
      </c>
      <c r="C685" s="8" t="s">
        <v>2136</v>
      </c>
      <c r="D685" s="7" t="n">
        <v>1</v>
      </c>
      <c r="E685" s="15" t="s">
        <v>2135</v>
      </c>
      <c r="F685" s="14"/>
      <c r="G685" s="14" t="s">
        <v>2138</v>
      </c>
    </row>
    <row r="686" customFormat="false" ht="15" hidden="false" customHeight="false" outlineLevel="0" collapsed="false">
      <c r="A686" s="7" t="s">
        <v>1967</v>
      </c>
      <c r="B686" s="8" t="s">
        <v>2612</v>
      </c>
      <c r="C686" s="8" t="s">
        <v>2611</v>
      </c>
      <c r="D686" s="7" t="n">
        <v>2</v>
      </c>
      <c r="E686" s="15" t="s">
        <v>2810</v>
      </c>
      <c r="F686" s="13" t="s">
        <v>87</v>
      </c>
      <c r="G686" s="14"/>
    </row>
    <row r="687" customFormat="false" ht="15" hidden="false" customHeight="false" outlineLevel="0" collapsed="false">
      <c r="A687" s="7" t="s">
        <v>1967</v>
      </c>
      <c r="B687" s="8" t="s">
        <v>808</v>
      </c>
      <c r="C687" s="8" t="s">
        <v>2290</v>
      </c>
      <c r="D687" s="7" t="n">
        <v>3</v>
      </c>
      <c r="E687" s="15" t="s">
        <v>2811</v>
      </c>
      <c r="F687" s="13" t="s">
        <v>56</v>
      </c>
      <c r="G687" s="14" t="s">
        <v>2291</v>
      </c>
    </row>
    <row r="688" customFormat="false" ht="15" hidden="false" customHeight="false" outlineLevel="0" collapsed="false">
      <c r="A688" s="7" t="s">
        <v>1967</v>
      </c>
      <c r="B688" s="8" t="s">
        <v>2026</v>
      </c>
      <c r="C688" s="8" t="s">
        <v>2025</v>
      </c>
      <c r="D688" s="7" t="n">
        <v>1</v>
      </c>
      <c r="E688" s="15" t="s">
        <v>2024</v>
      </c>
      <c r="F688" s="13" t="s">
        <v>74</v>
      </c>
      <c r="G688" s="14"/>
    </row>
    <row r="689" customFormat="false" ht="29.85" hidden="false" customHeight="false" outlineLevel="0" collapsed="false">
      <c r="A689" s="7" t="s">
        <v>1967</v>
      </c>
      <c r="B689" s="8" t="s">
        <v>44</v>
      </c>
      <c r="C689" s="8" t="s">
        <v>43</v>
      </c>
      <c r="D689" s="7" t="n">
        <v>2</v>
      </c>
      <c r="E689" s="15" t="s">
        <v>2812</v>
      </c>
      <c r="F689" s="13" t="s">
        <v>45</v>
      </c>
      <c r="G689" s="14" t="s">
        <v>46</v>
      </c>
    </row>
    <row r="690" customFormat="false" ht="15" hidden="false" customHeight="false" outlineLevel="0" collapsed="false">
      <c r="A690" s="7" t="s">
        <v>1967</v>
      </c>
      <c r="B690" s="8" t="s">
        <v>2163</v>
      </c>
      <c r="C690" s="8" t="s">
        <v>2162</v>
      </c>
      <c r="D690" s="7" t="n">
        <v>2</v>
      </c>
      <c r="E690" s="15" t="s">
        <v>2813</v>
      </c>
      <c r="F690" s="13" t="s">
        <v>87</v>
      </c>
      <c r="G690" s="14"/>
    </row>
    <row r="691" customFormat="false" ht="15" hidden="false" customHeight="false" outlineLevel="0" collapsed="false">
      <c r="A691" s="7" t="s">
        <v>1967</v>
      </c>
      <c r="B691" s="8" t="s">
        <v>2004</v>
      </c>
      <c r="C691" s="8" t="s">
        <v>2814</v>
      </c>
      <c r="D691" s="7" t="n">
        <v>2</v>
      </c>
      <c r="E691" s="15" t="s">
        <v>2815</v>
      </c>
      <c r="F691" s="13" t="s">
        <v>87</v>
      </c>
      <c r="G691" s="14"/>
    </row>
    <row r="692" customFormat="false" ht="15" hidden="false" customHeight="false" outlineLevel="0" collapsed="false">
      <c r="A692" s="7" t="s">
        <v>1967</v>
      </c>
      <c r="B692" s="8" t="s">
        <v>1448</v>
      </c>
      <c r="C692" s="8" t="s">
        <v>1447</v>
      </c>
      <c r="D692" s="7" t="n">
        <v>1</v>
      </c>
      <c r="E692" s="15" t="s">
        <v>2489</v>
      </c>
      <c r="F692" s="13" t="s">
        <v>1204</v>
      </c>
      <c r="G692" s="14" t="s">
        <v>1449</v>
      </c>
    </row>
    <row r="693" customFormat="false" ht="15" hidden="false" customHeight="false" outlineLevel="0" collapsed="false">
      <c r="A693" s="7" t="s">
        <v>1967</v>
      </c>
      <c r="B693" s="8" t="s">
        <v>2029</v>
      </c>
      <c r="C693" s="8" t="s">
        <v>2028</v>
      </c>
      <c r="D693" s="7" t="n">
        <v>1</v>
      </c>
      <c r="E693" s="15" t="s">
        <v>2027</v>
      </c>
      <c r="F693" s="15"/>
      <c r="G693" s="15"/>
    </row>
    <row r="694" customFormat="false" ht="15" hidden="false" customHeight="false" outlineLevel="0" collapsed="false">
      <c r="A694" s="7" t="s">
        <v>1967</v>
      </c>
      <c r="B694" s="8" t="s">
        <v>2093</v>
      </c>
      <c r="C694" s="8" t="s">
        <v>2092</v>
      </c>
      <c r="D694" s="7" t="n">
        <v>2</v>
      </c>
      <c r="E694" s="15" t="s">
        <v>2816</v>
      </c>
      <c r="F694" s="13" t="s">
        <v>87</v>
      </c>
      <c r="G694" s="14"/>
    </row>
    <row r="695" customFormat="false" ht="15" hidden="false" customHeight="false" outlineLevel="0" collapsed="false">
      <c r="A695" s="7" t="s">
        <v>1967</v>
      </c>
      <c r="B695" s="8" t="s">
        <v>2058</v>
      </c>
      <c r="C695" s="8" t="s">
        <v>2056</v>
      </c>
      <c r="D695" s="7" t="n">
        <v>1</v>
      </c>
      <c r="E695" s="15" t="s">
        <v>2055</v>
      </c>
      <c r="F695" s="15"/>
      <c r="G695" s="15"/>
    </row>
    <row r="696" customFormat="false" ht="15" hidden="false" customHeight="false" outlineLevel="0" collapsed="false">
      <c r="A696" s="7" t="s">
        <v>1967</v>
      </c>
      <c r="B696" s="8" t="s">
        <v>55</v>
      </c>
      <c r="C696" s="8" t="s">
        <v>54</v>
      </c>
      <c r="D696" s="7" t="n">
        <v>1</v>
      </c>
      <c r="E696" s="15" t="s">
        <v>2236</v>
      </c>
      <c r="F696" s="13" t="s">
        <v>56</v>
      </c>
      <c r="G696" s="14"/>
    </row>
    <row r="697" customFormat="false" ht="15" hidden="false" customHeight="false" outlineLevel="0" collapsed="false">
      <c r="A697" s="7" t="s">
        <v>1967</v>
      </c>
      <c r="B697" s="8" t="s">
        <v>1995</v>
      </c>
      <c r="C697" s="8" t="s">
        <v>1994</v>
      </c>
      <c r="D697" s="7" t="n">
        <v>2</v>
      </c>
      <c r="E697" s="15" t="s">
        <v>2817</v>
      </c>
      <c r="F697" s="13" t="s">
        <v>87</v>
      </c>
      <c r="G697" s="14"/>
    </row>
    <row r="698" customFormat="false" ht="15" hidden="false" customHeight="false" outlineLevel="0" collapsed="false">
      <c r="A698" s="7" t="s">
        <v>1967</v>
      </c>
      <c r="B698" s="8" t="s">
        <v>2590</v>
      </c>
      <c r="C698" s="8" t="s">
        <v>2589</v>
      </c>
      <c r="D698" s="7" t="n">
        <v>1</v>
      </c>
      <c r="E698" s="15" t="s">
        <v>2588</v>
      </c>
      <c r="F698" s="15"/>
      <c r="G698" s="15"/>
    </row>
    <row r="699" customFormat="false" ht="15" hidden="false" customHeight="false" outlineLevel="0" collapsed="false">
      <c r="A699" s="7" t="s">
        <v>1967</v>
      </c>
      <c r="B699" s="8" t="s">
        <v>2464</v>
      </c>
      <c r="C699" s="8" t="s">
        <v>2463</v>
      </c>
      <c r="D699" s="7" t="n">
        <v>2</v>
      </c>
      <c r="E699" s="15" t="s">
        <v>2818</v>
      </c>
      <c r="F699" s="13" t="s">
        <v>87</v>
      </c>
      <c r="G699" s="14"/>
    </row>
    <row r="700" customFormat="false" ht="15" hidden="false" customHeight="false" outlineLevel="0" collapsed="false">
      <c r="A700" s="7" t="s">
        <v>1967</v>
      </c>
      <c r="B700" s="8" t="s">
        <v>2279</v>
      </c>
      <c r="C700" s="8" t="s">
        <v>2277</v>
      </c>
      <c r="D700" s="7" t="n">
        <v>2</v>
      </c>
      <c r="E700" s="15" t="s">
        <v>2819</v>
      </c>
      <c r="F700" s="13" t="s">
        <v>87</v>
      </c>
      <c r="G700" s="14"/>
    </row>
    <row r="701" customFormat="false" ht="15" hidden="false" customHeight="false" outlineLevel="0" collapsed="false">
      <c r="A701" s="7" t="s">
        <v>1967</v>
      </c>
      <c r="B701" s="8" t="s">
        <v>2320</v>
      </c>
      <c r="C701" s="8" t="s">
        <v>2318</v>
      </c>
      <c r="D701" s="7" t="n">
        <v>1</v>
      </c>
      <c r="E701" s="15" t="s">
        <v>2317</v>
      </c>
      <c r="F701" s="15"/>
      <c r="G701" s="15"/>
    </row>
    <row r="702" customFormat="false" ht="15" hidden="false" customHeight="false" outlineLevel="0" collapsed="false">
      <c r="A702" s="7" t="s">
        <v>1967</v>
      </c>
      <c r="B702" s="8" t="s">
        <v>2345</v>
      </c>
      <c r="C702" s="8" t="s">
        <v>2344</v>
      </c>
      <c r="D702" s="7" t="n">
        <v>1</v>
      </c>
      <c r="E702" s="15" t="s">
        <v>2343</v>
      </c>
      <c r="F702" s="15"/>
      <c r="G702" s="15"/>
    </row>
    <row r="703" customFormat="false" ht="15" hidden="false" customHeight="false" outlineLevel="0" collapsed="false">
      <c r="A703" s="7" t="s">
        <v>1967</v>
      </c>
      <c r="B703" s="8" t="s">
        <v>2100</v>
      </c>
      <c r="C703" s="8" t="s">
        <v>2098</v>
      </c>
      <c r="D703" s="7" t="n">
        <v>1</v>
      </c>
      <c r="E703" s="15" t="s">
        <v>2097</v>
      </c>
      <c r="F703" s="15"/>
      <c r="G703" s="15"/>
    </row>
    <row r="704" customFormat="false" ht="15" hidden="false" customHeight="false" outlineLevel="0" collapsed="false">
      <c r="A704" s="7" t="s">
        <v>1967</v>
      </c>
      <c r="B704" s="8" t="s">
        <v>2054</v>
      </c>
      <c r="C704" s="8" t="s">
        <v>2053</v>
      </c>
      <c r="D704" s="7" t="n">
        <v>1</v>
      </c>
      <c r="E704" s="15" t="s">
        <v>2052</v>
      </c>
      <c r="F704" s="15"/>
      <c r="G704" s="15"/>
    </row>
    <row r="705" customFormat="false" ht="15" hidden="false" customHeight="false" outlineLevel="0" collapsed="false">
      <c r="A705" s="7" t="s">
        <v>1967</v>
      </c>
      <c r="B705" s="8" t="s">
        <v>2040</v>
      </c>
      <c r="C705" s="8" t="s">
        <v>2039</v>
      </c>
      <c r="D705" s="7" t="n">
        <v>1</v>
      </c>
      <c r="E705" s="15" t="s">
        <v>2038</v>
      </c>
      <c r="F705" s="15"/>
      <c r="G705" s="15"/>
    </row>
    <row r="706" customFormat="false" ht="15" hidden="false" customHeight="false" outlineLevel="0" collapsed="false">
      <c r="A706" s="7" t="s">
        <v>1967</v>
      </c>
      <c r="B706" s="8" t="s">
        <v>2072</v>
      </c>
      <c r="C706" s="8" t="s">
        <v>2071</v>
      </c>
      <c r="D706" s="7" t="n">
        <v>1</v>
      </c>
      <c r="E706" s="15" t="s">
        <v>2070</v>
      </c>
      <c r="F706" s="15"/>
      <c r="G706" s="15"/>
    </row>
    <row r="707" customFormat="false" ht="15" hidden="false" customHeight="false" outlineLevel="0" collapsed="false">
      <c r="A707" s="7" t="s">
        <v>1967</v>
      </c>
      <c r="B707" s="8" t="s">
        <v>2267</v>
      </c>
      <c r="C707" s="8" t="s">
        <v>2266</v>
      </c>
      <c r="D707" s="7" t="n">
        <v>1</v>
      </c>
      <c r="E707" s="15" t="s">
        <v>2265</v>
      </c>
      <c r="F707" s="15"/>
      <c r="G707" s="15"/>
    </row>
    <row r="708" customFormat="false" ht="15" hidden="false" customHeight="false" outlineLevel="0" collapsed="false">
      <c r="A708" s="7" t="s">
        <v>1967</v>
      </c>
      <c r="B708" s="8" t="s">
        <v>2323</v>
      </c>
      <c r="C708" s="8" t="s">
        <v>2322</v>
      </c>
      <c r="D708" s="7" t="n">
        <v>2</v>
      </c>
      <c r="E708" s="15" t="s">
        <v>2820</v>
      </c>
      <c r="F708" s="13" t="s">
        <v>87</v>
      </c>
      <c r="G708" s="14"/>
    </row>
    <row r="709" customFormat="false" ht="15" hidden="false" customHeight="false" outlineLevel="0" collapsed="false">
      <c r="A709" s="7" t="s">
        <v>1967</v>
      </c>
      <c r="B709" s="8" t="s">
        <v>2633</v>
      </c>
      <c r="C709" s="8" t="s">
        <v>2632</v>
      </c>
      <c r="D709" s="7" t="n">
        <v>1</v>
      </c>
      <c r="E709" s="15" t="s">
        <v>2631</v>
      </c>
      <c r="F709" s="15"/>
      <c r="G709" s="15"/>
    </row>
    <row r="710" customFormat="false" ht="15" hidden="false" customHeight="false" outlineLevel="0" collapsed="false">
      <c r="A710" s="7" t="s">
        <v>1967</v>
      </c>
      <c r="B710" s="8" t="s">
        <v>2384</v>
      </c>
      <c r="C710" s="8" t="s">
        <v>2383</v>
      </c>
      <c r="D710" s="7" t="n">
        <v>1</v>
      </c>
      <c r="E710" s="15" t="s">
        <v>2382</v>
      </c>
      <c r="F710" s="15"/>
      <c r="G710" s="15"/>
    </row>
    <row r="711" customFormat="false" ht="15" hidden="false" customHeight="false" outlineLevel="0" collapsed="false">
      <c r="A711" s="7" t="s">
        <v>1967</v>
      </c>
      <c r="B711" s="8" t="s">
        <v>527</v>
      </c>
      <c r="C711" s="8" t="s">
        <v>526</v>
      </c>
      <c r="D711" s="7" t="n">
        <v>1</v>
      </c>
      <c r="E711" s="15" t="s">
        <v>2351</v>
      </c>
      <c r="F711" s="13" t="s">
        <v>56</v>
      </c>
      <c r="G711" s="14" t="s">
        <v>528</v>
      </c>
    </row>
    <row r="712" customFormat="false" ht="15" hidden="false" customHeight="false" outlineLevel="0" collapsed="false">
      <c r="A712" s="7" t="s">
        <v>1967</v>
      </c>
      <c r="B712" s="8" t="s">
        <v>2117</v>
      </c>
      <c r="C712" s="8" t="s">
        <v>2116</v>
      </c>
      <c r="D712" s="7" t="n">
        <v>1</v>
      </c>
      <c r="E712" s="15" t="s">
        <v>2115</v>
      </c>
      <c r="F712" s="15"/>
      <c r="G712" s="15"/>
    </row>
    <row r="713" customFormat="false" ht="15" hidden="false" customHeight="false" outlineLevel="0" collapsed="false">
      <c r="A713" s="7" t="s">
        <v>1967</v>
      </c>
      <c r="B713" s="8" t="s">
        <v>2509</v>
      </c>
      <c r="C713" s="8" t="s">
        <v>2508</v>
      </c>
      <c r="D713" s="7" t="n">
        <v>1</v>
      </c>
      <c r="E713" s="15" t="s">
        <v>2507</v>
      </c>
      <c r="F713" s="15"/>
      <c r="G713" s="15"/>
    </row>
    <row r="714" customFormat="false" ht="15" hidden="false" customHeight="false" outlineLevel="0" collapsed="false">
      <c r="A714" s="7" t="s">
        <v>1967</v>
      </c>
      <c r="B714" s="8" t="s">
        <v>1983</v>
      </c>
      <c r="C714" s="8" t="s">
        <v>1982</v>
      </c>
      <c r="D714" s="7" t="n">
        <v>1</v>
      </c>
      <c r="E714" s="15" t="s">
        <v>1981</v>
      </c>
      <c r="F714" s="15"/>
      <c r="G714" s="15"/>
    </row>
    <row r="715" customFormat="false" ht="15" hidden="false" customHeight="false" outlineLevel="0" collapsed="false">
      <c r="A715" s="7" t="s">
        <v>1967</v>
      </c>
      <c r="B715" s="8" t="s">
        <v>2376</v>
      </c>
      <c r="C715" s="8" t="s">
        <v>2375</v>
      </c>
      <c r="D715" s="7" t="n">
        <v>1</v>
      </c>
      <c r="E715" s="15" t="s">
        <v>2374</v>
      </c>
      <c r="F715" s="15"/>
      <c r="G715" s="15"/>
    </row>
    <row r="716" customFormat="false" ht="15" hidden="false" customHeight="false" outlineLevel="0" collapsed="false">
      <c r="A716" s="7" t="s">
        <v>1967</v>
      </c>
      <c r="B716" s="8" t="s">
        <v>2021</v>
      </c>
      <c r="C716" s="8" t="s">
        <v>2020</v>
      </c>
      <c r="D716" s="7" t="n">
        <v>1</v>
      </c>
      <c r="E716" s="15" t="s">
        <v>2019</v>
      </c>
      <c r="F716" s="15"/>
      <c r="G716" s="15"/>
    </row>
    <row r="717" customFormat="false" ht="15" hidden="false" customHeight="false" outlineLevel="0" collapsed="false">
      <c r="A717" s="7" t="s">
        <v>1967</v>
      </c>
      <c r="B717" s="8" t="s">
        <v>2032</v>
      </c>
      <c r="C717" s="8" t="s">
        <v>2031</v>
      </c>
      <c r="D717" s="7" t="n">
        <v>1</v>
      </c>
      <c r="E717" s="15" t="s">
        <v>2030</v>
      </c>
      <c r="F717" s="15"/>
      <c r="G717" s="15"/>
    </row>
    <row r="718" customFormat="false" ht="15" hidden="false" customHeight="false" outlineLevel="0" collapsed="false">
      <c r="A718" s="7" t="s">
        <v>1967</v>
      </c>
      <c r="B718" s="8" t="s">
        <v>2247</v>
      </c>
      <c r="C718" s="8" t="s">
        <v>2246</v>
      </c>
      <c r="D718" s="7" t="n">
        <v>1</v>
      </c>
      <c r="E718" s="15" t="s">
        <v>2245</v>
      </c>
      <c r="F718" s="15"/>
      <c r="G718" s="15"/>
    </row>
    <row r="719" customFormat="false" ht="15" hidden="false" customHeight="false" outlineLevel="0" collapsed="false">
      <c r="A719" s="7" t="s">
        <v>1967</v>
      </c>
      <c r="B719" s="8" t="s">
        <v>2673</v>
      </c>
      <c r="C719" s="8" t="s">
        <v>2672</v>
      </c>
      <c r="D719" s="7" t="n">
        <v>1</v>
      </c>
      <c r="E719" s="15" t="s">
        <v>2671</v>
      </c>
      <c r="F719" s="15"/>
      <c r="G719" s="15"/>
    </row>
    <row r="720" customFormat="false" ht="15" hidden="false" customHeight="false" outlineLevel="0" collapsed="false">
      <c r="A720" s="7" t="s">
        <v>1967</v>
      </c>
      <c r="B720" s="8" t="s">
        <v>2535</v>
      </c>
      <c r="C720" s="8" t="s">
        <v>2534</v>
      </c>
      <c r="D720" s="7" t="n">
        <v>1</v>
      </c>
      <c r="E720" s="15" t="s">
        <v>2533</v>
      </c>
      <c r="F720" s="15"/>
      <c r="G720" s="15"/>
    </row>
    <row r="721" customFormat="false" ht="15" hidden="false" customHeight="false" outlineLevel="0" collapsed="false">
      <c r="A721" s="7" t="s">
        <v>1967</v>
      </c>
      <c r="B721" s="8" t="s">
        <v>2293</v>
      </c>
      <c r="C721" s="8" t="s">
        <v>2292</v>
      </c>
      <c r="D721" s="7" t="n">
        <v>1</v>
      </c>
      <c r="E721" s="15" t="s">
        <v>2289</v>
      </c>
      <c r="F721" s="15"/>
      <c r="G721" s="15"/>
    </row>
    <row r="722" customFormat="false" ht="15" hidden="false" customHeight="false" outlineLevel="0" collapsed="false">
      <c r="A722" s="7" t="s">
        <v>1967</v>
      </c>
      <c r="B722" s="8" t="s">
        <v>2623</v>
      </c>
      <c r="C722" s="8" t="s">
        <v>2622</v>
      </c>
      <c r="D722" s="7" t="n">
        <v>1</v>
      </c>
      <c r="E722" s="15" t="s">
        <v>2621</v>
      </c>
      <c r="F722" s="15"/>
      <c r="G722" s="15"/>
    </row>
    <row r="723" customFormat="false" ht="15" hidden="false" customHeight="false" outlineLevel="0" collapsed="false">
      <c r="A723" s="7" t="s">
        <v>1967</v>
      </c>
      <c r="B723" s="8" t="s">
        <v>2515</v>
      </c>
      <c r="C723" s="8" t="s">
        <v>2514</v>
      </c>
      <c r="D723" s="7" t="n">
        <v>2</v>
      </c>
      <c r="E723" s="15" t="s">
        <v>2821</v>
      </c>
      <c r="F723" s="13" t="s">
        <v>87</v>
      </c>
      <c r="G723" s="14"/>
    </row>
    <row r="724" customFormat="false" ht="15" hidden="false" customHeight="false" outlineLevel="0" collapsed="false">
      <c r="A724" s="7" t="s">
        <v>1967</v>
      </c>
      <c r="B724" s="8" t="s">
        <v>2239</v>
      </c>
      <c r="C724" s="8" t="s">
        <v>2238</v>
      </c>
      <c r="D724" s="7" t="n">
        <v>2</v>
      </c>
      <c r="E724" s="15" t="s">
        <v>2822</v>
      </c>
      <c r="F724" s="13" t="s">
        <v>87</v>
      </c>
      <c r="G724" s="14"/>
    </row>
    <row r="725" customFormat="false" ht="29.85" hidden="false" customHeight="false" outlineLevel="0" collapsed="false">
      <c r="A725" s="7" t="s">
        <v>1967</v>
      </c>
      <c r="B725" s="8" t="s">
        <v>2471</v>
      </c>
      <c r="C725" s="8" t="s">
        <v>2469</v>
      </c>
      <c r="D725" s="7" t="n">
        <v>1</v>
      </c>
      <c r="E725" s="15" t="s">
        <v>2468</v>
      </c>
      <c r="F725" s="14"/>
      <c r="G725" s="14" t="s">
        <v>2472</v>
      </c>
    </row>
    <row r="726" customFormat="false" ht="15" hidden="false" customHeight="false" outlineLevel="0" collapsed="false">
      <c r="A726" s="7" t="s">
        <v>1967</v>
      </c>
      <c r="B726" s="8" t="s">
        <v>2531</v>
      </c>
      <c r="C726" s="8" t="s">
        <v>2530</v>
      </c>
      <c r="D726" s="7" t="n">
        <v>1</v>
      </c>
      <c r="E726" s="15" t="s">
        <v>2529</v>
      </c>
      <c r="F726" s="15"/>
      <c r="G726" s="15"/>
    </row>
    <row r="727" customFormat="false" ht="15" hidden="false" customHeight="false" outlineLevel="0" collapsed="false">
      <c r="A727" s="7" t="s">
        <v>1967</v>
      </c>
      <c r="B727" s="8" t="s">
        <v>2646</v>
      </c>
      <c r="C727" s="8" t="s">
        <v>2645</v>
      </c>
      <c r="D727" s="7" t="n">
        <v>4</v>
      </c>
      <c r="E727" s="15" t="s">
        <v>2823</v>
      </c>
      <c r="F727" s="13" t="s">
        <v>87</v>
      </c>
      <c r="G727" s="14"/>
    </row>
    <row r="728" customFormat="false" ht="15" hidden="false" customHeight="false" outlineLevel="0" collapsed="false">
      <c r="A728" s="7" t="s">
        <v>1967</v>
      </c>
      <c r="B728" s="8" t="s">
        <v>2080</v>
      </c>
      <c r="C728" s="8" t="s">
        <v>2079</v>
      </c>
      <c r="D728" s="7" t="n">
        <v>1</v>
      </c>
      <c r="E728" s="15" t="s">
        <v>2076</v>
      </c>
      <c r="F728" s="15"/>
      <c r="G728" s="15"/>
    </row>
    <row r="729" customFormat="false" ht="15" hidden="false" customHeight="false" outlineLevel="0" collapsed="false">
      <c r="A729" s="7" t="s">
        <v>1967</v>
      </c>
      <c r="B729" s="8" t="s">
        <v>2361</v>
      </c>
      <c r="C729" s="8" t="s">
        <v>2359</v>
      </c>
      <c r="D729" s="7" t="n">
        <v>1</v>
      </c>
      <c r="E729" s="15" t="s">
        <v>2358</v>
      </c>
      <c r="F729" s="15"/>
      <c r="G729" s="15"/>
    </row>
    <row r="730" customFormat="false" ht="15" hidden="false" customHeight="false" outlineLevel="0" collapsed="false">
      <c r="A730" s="7" t="s">
        <v>1967</v>
      </c>
      <c r="B730" s="8" t="s">
        <v>2012</v>
      </c>
      <c r="C730" s="8" t="s">
        <v>2011</v>
      </c>
      <c r="D730" s="7" t="n">
        <v>1</v>
      </c>
      <c r="E730" s="15" t="s">
        <v>2008</v>
      </c>
      <c r="F730" s="15"/>
      <c r="G730" s="15"/>
    </row>
    <row r="731" customFormat="false" ht="15" hidden="false" customHeight="false" outlineLevel="0" collapsed="false">
      <c r="A731" s="7" t="s">
        <v>1967</v>
      </c>
      <c r="B731" s="8" t="s">
        <v>2178</v>
      </c>
      <c r="C731" s="8" t="s">
        <v>2177</v>
      </c>
      <c r="D731" s="7" t="n">
        <v>2</v>
      </c>
      <c r="E731" s="15" t="s">
        <v>2824</v>
      </c>
      <c r="F731" s="13" t="s">
        <v>87</v>
      </c>
      <c r="G731" s="14"/>
    </row>
    <row r="732" customFormat="false" ht="15" hidden="false" customHeight="false" outlineLevel="0" collapsed="false">
      <c r="A732" s="7" t="s">
        <v>1967</v>
      </c>
      <c r="B732" s="8" t="s">
        <v>2205</v>
      </c>
      <c r="C732" s="8" t="s">
        <v>2204</v>
      </c>
      <c r="D732" s="7" t="n">
        <v>1</v>
      </c>
      <c r="E732" s="15" t="s">
        <v>2203</v>
      </c>
      <c r="F732" s="14"/>
      <c r="G732" s="14" t="s">
        <v>2206</v>
      </c>
    </row>
    <row r="733" customFormat="false" ht="15" hidden="false" customHeight="false" outlineLevel="0" collapsed="false">
      <c r="A733" s="7" t="s">
        <v>1967</v>
      </c>
      <c r="B733" s="8" t="s">
        <v>2126</v>
      </c>
      <c r="C733" s="8" t="s">
        <v>2125</v>
      </c>
      <c r="D733" s="7" t="n">
        <v>2</v>
      </c>
      <c r="E733" s="15" t="s">
        <v>2825</v>
      </c>
      <c r="F733" s="13" t="s">
        <v>87</v>
      </c>
      <c r="G733" s="14"/>
    </row>
    <row r="734" customFormat="false" ht="15" hidden="false" customHeight="false" outlineLevel="0" collapsed="false">
      <c r="A734" s="7" t="s">
        <v>1967</v>
      </c>
      <c r="B734" s="8" t="s">
        <v>2354</v>
      </c>
      <c r="C734" s="8" t="s">
        <v>2353</v>
      </c>
      <c r="D734" s="7" t="n">
        <v>2</v>
      </c>
      <c r="E734" s="15" t="s">
        <v>2826</v>
      </c>
      <c r="F734" s="13" t="s">
        <v>87</v>
      </c>
      <c r="G734" s="14"/>
    </row>
    <row r="735" customFormat="false" ht="15" hidden="false" customHeight="false" outlineLevel="0" collapsed="false">
      <c r="A735" s="7" t="s">
        <v>1967</v>
      </c>
      <c r="B735" s="8" t="s">
        <v>2661</v>
      </c>
      <c r="C735" s="8" t="s">
        <v>2660</v>
      </c>
      <c r="D735" s="7" t="n">
        <v>1</v>
      </c>
      <c r="E735" s="15" t="s">
        <v>2659</v>
      </c>
      <c r="F735" s="13" t="s">
        <v>74</v>
      </c>
      <c r="G735" s="14"/>
    </row>
    <row r="736" customFormat="false" ht="15" hidden="false" customHeight="false" outlineLevel="0" collapsed="false">
      <c r="A736" s="7" t="s">
        <v>1967</v>
      </c>
      <c r="B736" s="8" t="s">
        <v>2061</v>
      </c>
      <c r="C736" s="8" t="s">
        <v>2060</v>
      </c>
      <c r="D736" s="7" t="n">
        <v>1</v>
      </c>
      <c r="E736" s="15" t="s">
        <v>2059</v>
      </c>
      <c r="F736" s="15"/>
      <c r="G736" s="15"/>
    </row>
    <row r="737" customFormat="false" ht="15" hidden="false" customHeight="false" outlineLevel="0" collapsed="false">
      <c r="A737" s="7" t="s">
        <v>1967</v>
      </c>
      <c r="B737" s="8" t="s">
        <v>2639</v>
      </c>
      <c r="C737" s="8" t="s">
        <v>2638</v>
      </c>
      <c r="D737" s="7" t="n">
        <v>1</v>
      </c>
      <c r="E737" s="15" t="s">
        <v>2637</v>
      </c>
      <c r="F737" s="15"/>
      <c r="G737" s="15"/>
    </row>
    <row r="738" customFormat="false" ht="15" hidden="false" customHeight="false" outlineLevel="0" collapsed="false">
      <c r="A738" s="7" t="s">
        <v>1967</v>
      </c>
      <c r="B738" s="8" t="s">
        <v>2449</v>
      </c>
      <c r="C738" s="8" t="s">
        <v>2448</v>
      </c>
      <c r="D738" s="7" t="n">
        <v>2</v>
      </c>
      <c r="E738" s="15" t="s">
        <v>2827</v>
      </c>
      <c r="F738" s="13" t="s">
        <v>87</v>
      </c>
      <c r="G738" s="14"/>
    </row>
    <row r="739" customFormat="false" ht="15" hidden="false" customHeight="false" outlineLevel="0" collapsed="false">
      <c r="A739" s="7" t="s">
        <v>1967</v>
      </c>
      <c r="B739" s="8" t="s">
        <v>2296</v>
      </c>
      <c r="C739" s="8" t="s">
        <v>2295</v>
      </c>
      <c r="D739" s="7" t="n">
        <v>1</v>
      </c>
      <c r="E739" s="15" t="s">
        <v>2294</v>
      </c>
      <c r="F739" s="15"/>
      <c r="G739" s="15"/>
    </row>
    <row r="740" customFormat="false" ht="15" hidden="false" customHeight="false" outlineLevel="0" collapsed="false">
      <c r="A740" s="7" t="s">
        <v>1967</v>
      </c>
      <c r="B740" s="8" t="s">
        <v>2488</v>
      </c>
      <c r="C740" s="8" t="s">
        <v>2487</v>
      </c>
      <c r="D740" s="7" t="n">
        <v>1</v>
      </c>
      <c r="E740" s="15" t="s">
        <v>2486</v>
      </c>
      <c r="F740" s="15"/>
      <c r="G740" s="15"/>
    </row>
    <row r="741" customFormat="false" ht="15" hidden="false" customHeight="false" outlineLevel="0" collapsed="false">
      <c r="A741" s="7" t="s">
        <v>1967</v>
      </c>
      <c r="B741" s="8" t="s">
        <v>2658</v>
      </c>
      <c r="C741" s="8" t="s">
        <v>2657</v>
      </c>
      <c r="D741" s="7" t="n">
        <v>1</v>
      </c>
      <c r="E741" s="15" t="s">
        <v>2656</v>
      </c>
      <c r="F741" s="15"/>
      <c r="G741" s="15"/>
    </row>
    <row r="742" customFormat="false" ht="15" hidden="false" customHeight="false" outlineLevel="0" collapsed="false">
      <c r="A742" s="7" t="s">
        <v>1967</v>
      </c>
      <c r="B742" s="8" t="s">
        <v>2357</v>
      </c>
      <c r="C742" s="8" t="s">
        <v>2356</v>
      </c>
      <c r="D742" s="7" t="n">
        <v>1</v>
      </c>
      <c r="E742" s="15" t="s">
        <v>2355</v>
      </c>
      <c r="F742" s="15"/>
      <c r="G742" s="15"/>
    </row>
    <row r="743" customFormat="false" ht="15" hidden="false" customHeight="false" outlineLevel="0" collapsed="false">
      <c r="A743" s="7" t="s">
        <v>1967</v>
      </c>
      <c r="B743" s="8" t="s">
        <v>2169</v>
      </c>
      <c r="C743" s="8" t="s">
        <v>2168</v>
      </c>
      <c r="D743" s="7" t="n">
        <v>1</v>
      </c>
      <c r="E743" s="15" t="s">
        <v>2167</v>
      </c>
      <c r="F743" s="15"/>
      <c r="G743" s="15"/>
    </row>
    <row r="744" customFormat="false" ht="15" hidden="false" customHeight="false" outlineLevel="0" collapsed="false">
      <c r="A744" s="7" t="s">
        <v>1967</v>
      </c>
      <c r="B744" s="8" t="s">
        <v>2106</v>
      </c>
      <c r="C744" s="8" t="s">
        <v>2105</v>
      </c>
      <c r="D744" s="7" t="n">
        <v>2</v>
      </c>
      <c r="E744" s="15" t="s">
        <v>2828</v>
      </c>
      <c r="F744" s="13" t="s">
        <v>87</v>
      </c>
      <c r="G744" s="14"/>
    </row>
    <row r="745" customFormat="false" ht="15" hidden="false" customHeight="false" outlineLevel="0" collapsed="false">
      <c r="A745" s="7" t="s">
        <v>1967</v>
      </c>
      <c r="B745" s="8" t="s">
        <v>2141</v>
      </c>
      <c r="C745" s="8" t="s">
        <v>2140</v>
      </c>
      <c r="D745" s="7" t="n">
        <v>1</v>
      </c>
      <c r="E745" s="15" t="s">
        <v>2139</v>
      </c>
      <c r="F745" s="15"/>
      <c r="G745" s="15"/>
    </row>
    <row r="746" customFormat="false" ht="15" hidden="false" customHeight="false" outlineLevel="0" collapsed="false">
      <c r="A746" s="7" t="s">
        <v>1967</v>
      </c>
      <c r="B746" s="8" t="s">
        <v>2543</v>
      </c>
      <c r="C746" s="8" t="s">
        <v>2542</v>
      </c>
      <c r="D746" s="7" t="n">
        <v>1</v>
      </c>
      <c r="E746" s="15" t="s">
        <v>2541</v>
      </c>
      <c r="F746" s="15"/>
      <c r="G746" s="15"/>
    </row>
    <row r="747" customFormat="false" ht="15" hidden="false" customHeight="false" outlineLevel="0" collapsed="false">
      <c r="A747" s="7" t="s">
        <v>1967</v>
      </c>
      <c r="B747" s="8" t="s">
        <v>2342</v>
      </c>
      <c r="C747" s="8" t="s">
        <v>2340</v>
      </c>
      <c r="D747" s="7" t="n">
        <v>1</v>
      </c>
      <c r="E747" s="15" t="s">
        <v>2339</v>
      </c>
      <c r="F747" s="13" t="s">
        <v>74</v>
      </c>
      <c r="G747" s="14"/>
    </row>
    <row r="748" customFormat="false" ht="15" hidden="false" customHeight="false" outlineLevel="0" collapsed="false">
      <c r="A748" s="7" t="s">
        <v>1967</v>
      </c>
      <c r="B748" s="8" t="s">
        <v>815</v>
      </c>
      <c r="C748" s="8" t="s">
        <v>2682</v>
      </c>
      <c r="D748" s="7" t="n">
        <v>1</v>
      </c>
      <c r="E748" s="15" t="s">
        <v>2681</v>
      </c>
      <c r="F748" s="13" t="s">
        <v>56</v>
      </c>
      <c r="G748" s="14"/>
    </row>
    <row r="749" customFormat="false" ht="15" hidden="false" customHeight="false" outlineLevel="0" collapsed="false">
      <c r="A749" s="7" t="s">
        <v>1967</v>
      </c>
      <c r="B749" s="8" t="s">
        <v>2434</v>
      </c>
      <c r="C749" s="8" t="s">
        <v>2433</v>
      </c>
      <c r="D749" s="7" t="n">
        <v>1</v>
      </c>
      <c r="E749" s="15" t="s">
        <v>2432</v>
      </c>
      <c r="F749" s="15"/>
      <c r="G749" s="15"/>
    </row>
    <row r="750" customFormat="false" ht="15" hidden="false" customHeight="false" outlineLevel="0" collapsed="false">
      <c r="A750" s="7" t="s">
        <v>1967</v>
      </c>
      <c r="B750" s="8" t="s">
        <v>1974</v>
      </c>
      <c r="C750" s="8" t="s">
        <v>2829</v>
      </c>
      <c r="D750" s="7" t="n">
        <v>2</v>
      </c>
      <c r="E750" s="15" t="s">
        <v>2830</v>
      </c>
      <c r="F750" s="13" t="s">
        <v>87</v>
      </c>
      <c r="G750" s="14"/>
    </row>
    <row r="751" customFormat="false" ht="15" hidden="false" customHeight="false" outlineLevel="0" collapsed="false">
      <c r="A751" s="7" t="s">
        <v>1967</v>
      </c>
      <c r="B751" s="8" t="s">
        <v>2446</v>
      </c>
      <c r="C751" s="8" t="s">
        <v>2445</v>
      </c>
      <c r="D751" s="7" t="n">
        <v>1</v>
      </c>
      <c r="E751" s="15" t="s">
        <v>2444</v>
      </c>
      <c r="F751" s="15"/>
      <c r="G751" s="15"/>
    </row>
    <row r="752" customFormat="false" ht="15" hidden="false" customHeight="false" outlineLevel="0" collapsed="false">
      <c r="A752" s="7" t="s">
        <v>1967</v>
      </c>
      <c r="B752" s="8" t="s">
        <v>1980</v>
      </c>
      <c r="C752" s="8" t="s">
        <v>1979</v>
      </c>
      <c r="D752" s="7" t="n">
        <v>2</v>
      </c>
      <c r="E752" s="15" t="s">
        <v>2831</v>
      </c>
      <c r="F752" s="13" t="s">
        <v>87</v>
      </c>
      <c r="G752" s="14"/>
    </row>
    <row r="753" customFormat="false" ht="15" hidden="false" customHeight="false" outlineLevel="0" collapsed="false">
      <c r="A753" s="7" t="s">
        <v>1967</v>
      </c>
      <c r="B753" s="8" t="s">
        <v>2114</v>
      </c>
      <c r="C753" s="8" t="s">
        <v>2113</v>
      </c>
      <c r="D753" s="7" t="n">
        <v>1</v>
      </c>
      <c r="E753" s="15" t="s">
        <v>2112</v>
      </c>
      <c r="F753" s="15"/>
      <c r="G753" s="15"/>
    </row>
    <row r="754" customFormat="false" ht="15" hidden="false" customHeight="false" outlineLevel="0" collapsed="false">
      <c r="A754" s="7" t="s">
        <v>1967</v>
      </c>
      <c r="B754" s="8" t="s">
        <v>2440</v>
      </c>
      <c r="C754" s="8" t="s">
        <v>2439</v>
      </c>
      <c r="D754" s="7" t="n">
        <v>1</v>
      </c>
      <c r="E754" s="15" t="s">
        <v>2438</v>
      </c>
      <c r="F754" s="15"/>
      <c r="G754" s="15"/>
    </row>
    <row r="755" customFormat="false" ht="15" hidden="false" customHeight="false" outlineLevel="0" collapsed="false">
      <c r="A755" s="7" t="s">
        <v>1967</v>
      </c>
      <c r="B755" s="8" t="s">
        <v>2037</v>
      </c>
      <c r="C755" s="8" t="s">
        <v>2036</v>
      </c>
      <c r="D755" s="7" t="n">
        <v>3</v>
      </c>
      <c r="E755" s="15" t="s">
        <v>2832</v>
      </c>
      <c r="F755" s="13" t="s">
        <v>87</v>
      </c>
      <c r="G755" s="14"/>
    </row>
    <row r="756" customFormat="false" ht="15" hidden="false" customHeight="false" outlineLevel="0" collapsed="false">
      <c r="A756" s="7" t="s">
        <v>1967</v>
      </c>
      <c r="B756" s="8" t="s">
        <v>2407</v>
      </c>
      <c r="C756" s="8" t="s">
        <v>2405</v>
      </c>
      <c r="D756" s="7" t="n">
        <v>1</v>
      </c>
      <c r="E756" s="15" t="s">
        <v>2404</v>
      </c>
      <c r="F756" s="14" t="s">
        <v>500</v>
      </c>
      <c r="G756" s="14"/>
    </row>
    <row r="757" customFormat="false" ht="15" hidden="false" customHeight="false" outlineLevel="0" collapsed="false">
      <c r="A757" s="7" t="s">
        <v>1967</v>
      </c>
      <c r="B757" s="8" t="s">
        <v>2244</v>
      </c>
      <c r="C757" s="8" t="s">
        <v>2243</v>
      </c>
      <c r="D757" s="7" t="n">
        <v>1</v>
      </c>
      <c r="E757" s="15" t="s">
        <v>2242</v>
      </c>
      <c r="F757" s="15"/>
      <c r="G757" s="15"/>
    </row>
    <row r="758" customFormat="false" ht="15" hidden="false" customHeight="false" outlineLevel="0" collapsed="false">
      <c r="A758" s="7" t="s">
        <v>1967</v>
      </c>
      <c r="B758" s="8" t="s">
        <v>2580</v>
      </c>
      <c r="C758" s="8" t="s">
        <v>2579</v>
      </c>
      <c r="D758" s="7" t="n">
        <v>1</v>
      </c>
      <c r="E758" s="15" t="s">
        <v>2578</v>
      </c>
      <c r="F758" s="15"/>
      <c r="G758" s="15"/>
    </row>
    <row r="759" customFormat="false" ht="15" hidden="false" customHeight="false" outlineLevel="0" collapsed="false">
      <c r="A759" s="7" t="s">
        <v>1967</v>
      </c>
      <c r="B759" s="8" t="s">
        <v>2670</v>
      </c>
      <c r="C759" s="8" t="s">
        <v>2669</v>
      </c>
      <c r="D759" s="7" t="n">
        <v>1</v>
      </c>
      <c r="E759" s="15" t="s">
        <v>2668</v>
      </c>
      <c r="F759" s="15"/>
      <c r="G759" s="15"/>
    </row>
    <row r="760" customFormat="false" ht="15" hidden="false" customHeight="false" outlineLevel="0" collapsed="false">
      <c r="A760" s="7" t="s">
        <v>1967</v>
      </c>
      <c r="B760" s="8" t="s">
        <v>2121</v>
      </c>
      <c r="C760" s="8" t="s">
        <v>2120</v>
      </c>
      <c r="D760" s="7" t="n">
        <v>1</v>
      </c>
      <c r="E760" s="15" t="s">
        <v>2119</v>
      </c>
      <c r="F760" s="15"/>
      <c r="G760" s="15"/>
    </row>
    <row r="761" customFormat="false" ht="15" hidden="false" customHeight="false" outlineLevel="0" collapsed="false">
      <c r="A761" s="7" t="s">
        <v>1967</v>
      </c>
      <c r="B761" s="8" t="s">
        <v>2123</v>
      </c>
      <c r="C761" s="8" t="s">
        <v>2122</v>
      </c>
      <c r="D761" s="7" t="n">
        <v>2</v>
      </c>
      <c r="E761" s="15" t="s">
        <v>2833</v>
      </c>
      <c r="F761" s="13" t="s">
        <v>87</v>
      </c>
      <c r="G761" s="14"/>
    </row>
    <row r="762" customFormat="false" ht="15" hidden="false" customHeight="false" outlineLevel="0" collapsed="false">
      <c r="A762" s="7" t="s">
        <v>1967</v>
      </c>
      <c r="B762" s="8" t="s">
        <v>2605</v>
      </c>
      <c r="C762" s="8" t="s">
        <v>2604</v>
      </c>
      <c r="D762" s="7" t="n">
        <v>1</v>
      </c>
      <c r="E762" s="15" t="s">
        <v>2601</v>
      </c>
      <c r="F762" s="13" t="s">
        <v>74</v>
      </c>
      <c r="G762" s="14"/>
    </row>
    <row r="763" customFormat="false" ht="15" hidden="false" customHeight="false" outlineLevel="0" collapsed="false">
      <c r="A763" s="7" t="s">
        <v>1967</v>
      </c>
      <c r="B763" s="8" t="s">
        <v>2511</v>
      </c>
      <c r="C763" s="8" t="s">
        <v>2510</v>
      </c>
      <c r="D763" s="7" t="n">
        <v>2</v>
      </c>
      <c r="E763" s="15" t="s">
        <v>2834</v>
      </c>
      <c r="F763" s="13" t="s">
        <v>87</v>
      </c>
      <c r="G763" s="14" t="s">
        <v>2512</v>
      </c>
    </row>
    <row r="764" customFormat="false" ht="15" hidden="false" customHeight="false" outlineLevel="0" collapsed="false">
      <c r="A764" s="7" t="s">
        <v>1967</v>
      </c>
      <c r="B764" s="8" t="s">
        <v>2023</v>
      </c>
      <c r="C764" s="8" t="s">
        <v>2022</v>
      </c>
      <c r="D764" s="7" t="n">
        <v>1</v>
      </c>
      <c r="E764" s="15" t="s">
        <v>2019</v>
      </c>
      <c r="F764" s="15"/>
      <c r="G764" s="15"/>
    </row>
    <row r="765" customFormat="false" ht="15" hidden="false" customHeight="false" outlineLevel="0" collapsed="false">
      <c r="A765" s="7" t="s">
        <v>1967</v>
      </c>
      <c r="B765" s="8" t="s">
        <v>2151</v>
      </c>
      <c r="C765" s="8" t="s">
        <v>2150</v>
      </c>
      <c r="D765" s="7" t="n">
        <v>1</v>
      </c>
      <c r="E765" s="15" t="s">
        <v>2149</v>
      </c>
      <c r="F765" s="15"/>
      <c r="G765" s="15"/>
    </row>
    <row r="766" customFormat="false" ht="15" hidden="false" customHeight="false" outlineLevel="0" collapsed="false">
      <c r="A766" s="7" t="s">
        <v>1967</v>
      </c>
      <c r="B766" s="8" t="s">
        <v>2075</v>
      </c>
      <c r="C766" s="8" t="s">
        <v>2074</v>
      </c>
      <c r="D766" s="7" t="n">
        <v>1</v>
      </c>
      <c r="E766" s="15" t="s">
        <v>2073</v>
      </c>
      <c r="F766" s="15"/>
      <c r="G766" s="15"/>
    </row>
    <row r="767" customFormat="false" ht="15" hidden="false" customHeight="false" outlineLevel="0" collapsed="false">
      <c r="A767" s="7" t="s">
        <v>1967</v>
      </c>
      <c r="B767" s="8" t="s">
        <v>2199</v>
      </c>
      <c r="C767" s="8" t="s">
        <v>2198</v>
      </c>
      <c r="D767" s="7" t="n">
        <v>1</v>
      </c>
      <c r="E767" s="15" t="s">
        <v>2197</v>
      </c>
      <c r="F767" s="15"/>
      <c r="G767" s="15"/>
    </row>
    <row r="768" customFormat="false" ht="15" hidden="false" customHeight="false" outlineLevel="0" collapsed="false">
      <c r="A768" s="7" t="s">
        <v>1967</v>
      </c>
      <c r="B768" s="8" t="s">
        <v>2309</v>
      </c>
      <c r="C768" s="8" t="s">
        <v>2308</v>
      </c>
      <c r="D768" s="7" t="n">
        <v>1</v>
      </c>
      <c r="E768" s="15" t="s">
        <v>2307</v>
      </c>
      <c r="F768" s="15"/>
      <c r="G768" s="15"/>
    </row>
    <row r="769" customFormat="false" ht="15" hidden="false" customHeight="false" outlineLevel="0" collapsed="false">
      <c r="A769" s="7" t="s">
        <v>1967</v>
      </c>
      <c r="B769" s="8" t="s">
        <v>1235</v>
      </c>
      <c r="C769" s="8" t="s">
        <v>1234</v>
      </c>
      <c r="D769" s="7" t="n">
        <v>1</v>
      </c>
      <c r="E769" s="15" t="s">
        <v>2643</v>
      </c>
      <c r="F769" s="13" t="s">
        <v>1204</v>
      </c>
      <c r="G769" s="14"/>
    </row>
    <row r="770" customFormat="false" ht="15" hidden="false" customHeight="false" outlineLevel="0" collapsed="false">
      <c r="A770" s="7" t="s">
        <v>1967</v>
      </c>
      <c r="B770" s="8" t="s">
        <v>2050</v>
      </c>
      <c r="C770" s="8" t="s">
        <v>2835</v>
      </c>
      <c r="D770" s="7" t="n">
        <v>3</v>
      </c>
      <c r="E770" s="15" t="s">
        <v>2836</v>
      </c>
      <c r="F770" s="13" t="s">
        <v>87</v>
      </c>
      <c r="G770" s="14"/>
    </row>
    <row r="771" customFormat="false" ht="15" hidden="false" customHeight="false" outlineLevel="0" collapsed="false">
      <c r="A771" s="7" t="s">
        <v>1967</v>
      </c>
      <c r="B771" s="8" t="s">
        <v>2195</v>
      </c>
      <c r="C771" s="8" t="s">
        <v>2193</v>
      </c>
      <c r="D771" s="7" t="n">
        <v>1</v>
      </c>
      <c r="E771" s="15" t="s">
        <v>2190</v>
      </c>
      <c r="F771" s="14"/>
      <c r="G771" s="14" t="s">
        <v>2196</v>
      </c>
    </row>
    <row r="772" customFormat="false" ht="15" hidden="false" customHeight="false" outlineLevel="0" collapsed="false">
      <c r="A772" s="7" t="s">
        <v>1967</v>
      </c>
      <c r="B772" s="8" t="s">
        <v>2154</v>
      </c>
      <c r="C772" s="8" t="s">
        <v>2153</v>
      </c>
      <c r="D772" s="7" t="n">
        <v>1</v>
      </c>
      <c r="E772" s="15" t="s">
        <v>2152</v>
      </c>
      <c r="F772" s="15"/>
      <c r="G772" s="15"/>
    </row>
    <row r="773" customFormat="false" ht="15" hidden="false" customHeight="false" outlineLevel="0" collapsed="false">
      <c r="A773" s="7" t="s">
        <v>1967</v>
      </c>
      <c r="B773" s="8" t="s">
        <v>2270</v>
      </c>
      <c r="C773" s="8" t="s">
        <v>2269</v>
      </c>
      <c r="D773" s="7" t="n">
        <v>3</v>
      </c>
      <c r="E773" s="15" t="s">
        <v>2837</v>
      </c>
      <c r="F773" s="13" t="s">
        <v>87</v>
      </c>
      <c r="G773" s="14"/>
    </row>
    <row r="774" customFormat="false" ht="15" hidden="false" customHeight="false" outlineLevel="0" collapsed="false">
      <c r="A774" s="7" t="s">
        <v>1967</v>
      </c>
      <c r="B774" s="8" t="s">
        <v>2379</v>
      </c>
      <c r="C774" s="8" t="s">
        <v>2378</v>
      </c>
      <c r="D774" s="7" t="n">
        <v>1</v>
      </c>
      <c r="E774" s="15" t="s">
        <v>2377</v>
      </c>
      <c r="F774" s="14" t="s">
        <v>500</v>
      </c>
      <c r="G774" s="14" t="s">
        <v>2380</v>
      </c>
    </row>
    <row r="775" customFormat="false" ht="15" hidden="false" customHeight="false" outlineLevel="0" collapsed="false">
      <c r="A775" s="7" t="s">
        <v>1967</v>
      </c>
      <c r="B775" s="8" t="s">
        <v>2395</v>
      </c>
      <c r="C775" s="8" t="s">
        <v>2394</v>
      </c>
      <c r="D775" s="7" t="n">
        <v>1</v>
      </c>
      <c r="E775" s="15" t="s">
        <v>2393</v>
      </c>
      <c r="F775" s="14"/>
      <c r="G775" s="14" t="s">
        <v>2396</v>
      </c>
    </row>
    <row r="776" customFormat="false" ht="15" hidden="false" customHeight="false" outlineLevel="0" collapsed="false">
      <c r="A776" s="7" t="s">
        <v>1967</v>
      </c>
      <c r="B776" s="8" t="s">
        <v>2326</v>
      </c>
      <c r="C776" s="8" t="s">
        <v>2325</v>
      </c>
      <c r="D776" s="7" t="n">
        <v>2</v>
      </c>
      <c r="E776" s="15" t="s">
        <v>2838</v>
      </c>
      <c r="F776" s="13" t="s">
        <v>87</v>
      </c>
      <c r="G776" s="14"/>
    </row>
    <row r="777" customFormat="false" ht="15" hidden="false" customHeight="false" outlineLevel="0" collapsed="false">
      <c r="A777" s="7" t="s">
        <v>1967</v>
      </c>
      <c r="B777" s="8" t="s">
        <v>2366</v>
      </c>
      <c r="C777" s="8" t="s">
        <v>2365</v>
      </c>
      <c r="D777" s="7" t="n">
        <v>1</v>
      </c>
      <c r="E777" s="15" t="s">
        <v>2364</v>
      </c>
      <c r="F777" s="15"/>
      <c r="G777" s="15"/>
    </row>
    <row r="778" customFormat="false" ht="15" hidden="false" customHeight="false" outlineLevel="0" collapsed="false">
      <c r="A778" s="7" t="s">
        <v>1967</v>
      </c>
      <c r="B778" s="8" t="s">
        <v>2306</v>
      </c>
      <c r="C778" s="8" t="s">
        <v>2305</v>
      </c>
      <c r="D778" s="7" t="n">
        <v>1</v>
      </c>
      <c r="E778" s="15" t="s">
        <v>2304</v>
      </c>
      <c r="F778" s="15"/>
      <c r="G778" s="15"/>
    </row>
    <row r="779" customFormat="false" ht="15" hidden="false" customHeight="false" outlineLevel="0" collapsed="false">
      <c r="A779" s="7" t="s">
        <v>1967</v>
      </c>
      <c r="B779" s="8" t="s">
        <v>1998</v>
      </c>
      <c r="C779" s="8" t="s">
        <v>1997</v>
      </c>
      <c r="D779" s="7" t="n">
        <v>1</v>
      </c>
      <c r="E779" s="15" t="s">
        <v>1996</v>
      </c>
      <c r="F779" s="15"/>
      <c r="G779" s="15"/>
    </row>
    <row r="780" customFormat="false" ht="15" hidden="false" customHeight="false" outlineLevel="0" collapsed="false">
      <c r="A780" s="7" t="s">
        <v>1967</v>
      </c>
      <c r="B780" s="8" t="s">
        <v>2710</v>
      </c>
      <c r="C780" s="8" t="s">
        <v>2709</v>
      </c>
      <c r="D780" s="7" t="n">
        <v>1</v>
      </c>
      <c r="E780" s="15" t="s">
        <v>2708</v>
      </c>
      <c r="F780" s="15"/>
      <c r="G780" s="15"/>
    </row>
    <row r="781" customFormat="false" ht="15" hidden="false" customHeight="false" outlineLevel="0" collapsed="false">
      <c r="A781" s="7" t="s">
        <v>1967</v>
      </c>
      <c r="B781" s="8" t="s">
        <v>2467</v>
      </c>
      <c r="C781" s="8" t="s">
        <v>2466</v>
      </c>
      <c r="D781" s="7" t="n">
        <v>1</v>
      </c>
      <c r="E781" s="15" t="s">
        <v>2465</v>
      </c>
      <c r="F781" s="15"/>
      <c r="G781" s="15"/>
    </row>
    <row r="782" customFormat="false" ht="15" hidden="false" customHeight="false" outlineLevel="0" collapsed="false">
      <c r="A782" s="7" t="s">
        <v>1967</v>
      </c>
      <c r="B782" s="8" t="s">
        <v>2315</v>
      </c>
      <c r="C782" s="8" t="s">
        <v>2314</v>
      </c>
      <c r="D782" s="7" t="n">
        <v>2</v>
      </c>
      <c r="E782" s="15" t="s">
        <v>2839</v>
      </c>
      <c r="F782" s="13" t="s">
        <v>87</v>
      </c>
      <c r="G782" s="14"/>
    </row>
    <row r="783" customFormat="false" ht="15" hidden="false" customHeight="false" outlineLevel="0" collapsed="false">
      <c r="A783" s="7" t="s">
        <v>1967</v>
      </c>
      <c r="B783" s="8" t="s">
        <v>2603</v>
      </c>
      <c r="C783" s="8" t="s">
        <v>2602</v>
      </c>
      <c r="D783" s="7" t="n">
        <v>1</v>
      </c>
      <c r="E783" s="15" t="s">
        <v>2601</v>
      </c>
      <c r="F783" s="15"/>
      <c r="G783" s="15"/>
    </row>
    <row r="784" customFormat="false" ht="23.85" hidden="false" customHeight="false" outlineLevel="0" collapsed="false">
      <c r="A784" s="7" t="s">
        <v>1967</v>
      </c>
      <c r="B784" s="8" t="s">
        <v>2166</v>
      </c>
      <c r="C784" s="8" t="s">
        <v>2165</v>
      </c>
      <c r="D784" s="7" t="n">
        <v>5</v>
      </c>
      <c r="E784" s="15" t="s">
        <v>2840</v>
      </c>
      <c r="F784" s="13" t="s">
        <v>87</v>
      </c>
      <c r="G784" s="14"/>
    </row>
    <row r="785" customFormat="false" ht="29.85" hidden="false" customHeight="false" outlineLevel="0" collapsed="false">
      <c r="A785" s="7" t="s">
        <v>1967</v>
      </c>
      <c r="B785" s="8" t="s">
        <v>2231</v>
      </c>
      <c r="C785" s="8" t="s">
        <v>2230</v>
      </c>
      <c r="D785" s="7" t="n">
        <v>1</v>
      </c>
      <c r="E785" s="15" t="s">
        <v>2229</v>
      </c>
      <c r="F785" s="14"/>
      <c r="G785" s="14" t="s">
        <v>2232</v>
      </c>
    </row>
    <row r="786" customFormat="false" ht="15" hidden="false" customHeight="false" outlineLevel="0" collapsed="false">
      <c r="A786" s="7" t="s">
        <v>1967</v>
      </c>
      <c r="B786" s="8" t="s">
        <v>2078</v>
      </c>
      <c r="C786" s="8" t="s">
        <v>2077</v>
      </c>
      <c r="D786" s="7" t="n">
        <v>1</v>
      </c>
      <c r="E786" s="15" t="s">
        <v>2076</v>
      </c>
      <c r="F786" s="15"/>
      <c r="G786" s="15"/>
    </row>
    <row r="787" customFormat="false" ht="15" hidden="false" customHeight="false" outlineLevel="0" collapsed="false">
      <c r="A787" s="7" t="s">
        <v>1967</v>
      </c>
      <c r="B787" s="8" t="s">
        <v>2090</v>
      </c>
      <c r="C787" s="8" t="s">
        <v>2089</v>
      </c>
      <c r="D787" s="7" t="n">
        <v>1</v>
      </c>
      <c r="E787" s="15" t="s">
        <v>2088</v>
      </c>
      <c r="F787" s="15"/>
      <c r="G787" s="15"/>
    </row>
    <row r="788" customFormat="false" ht="15" hidden="false" customHeight="false" outlineLevel="0" collapsed="false">
      <c r="A788" s="7" t="s">
        <v>1967</v>
      </c>
      <c r="B788" s="8" t="s">
        <v>2706</v>
      </c>
      <c r="C788" s="8" t="s">
        <v>2705</v>
      </c>
      <c r="D788" s="7" t="n">
        <v>1</v>
      </c>
      <c r="E788" s="15" t="s">
        <v>2704</v>
      </c>
      <c r="F788" s="14" t="s">
        <v>500</v>
      </c>
      <c r="G788" s="14" t="s">
        <v>2707</v>
      </c>
    </row>
    <row r="789" customFormat="false" ht="15" hidden="false" customHeight="false" outlineLevel="0" collapsed="false">
      <c r="A789" s="7" t="s">
        <v>1967</v>
      </c>
      <c r="B789" s="8" t="s">
        <v>2185</v>
      </c>
      <c r="C789" s="8" t="s">
        <v>2184</v>
      </c>
      <c r="D789" s="7" t="n">
        <v>1</v>
      </c>
      <c r="E789" s="15" t="s">
        <v>2183</v>
      </c>
      <c r="F789" s="15"/>
      <c r="G789" s="15"/>
    </row>
    <row r="790" customFormat="false" ht="15" hidden="false" customHeight="false" outlineLevel="0" collapsed="false">
      <c r="A790" s="7" t="s">
        <v>1967</v>
      </c>
      <c r="B790" s="8" t="s">
        <v>2222</v>
      </c>
      <c r="C790" s="8" t="s">
        <v>2221</v>
      </c>
      <c r="D790" s="7" t="n">
        <v>1</v>
      </c>
      <c r="E790" s="15" t="s">
        <v>2220</v>
      </c>
      <c r="F790" s="15"/>
      <c r="G790" s="15"/>
    </row>
    <row r="791" customFormat="false" ht="15" hidden="false" customHeight="false" outlineLevel="0" collapsed="false">
      <c r="A791" s="7" t="s">
        <v>1967</v>
      </c>
      <c r="B791" s="8" t="s">
        <v>2219</v>
      </c>
      <c r="C791" s="8" t="s">
        <v>2218</v>
      </c>
      <c r="D791" s="7" t="n">
        <v>1</v>
      </c>
      <c r="E791" s="15" t="s">
        <v>2217</v>
      </c>
      <c r="F791" s="15"/>
      <c r="G791" s="15"/>
    </row>
    <row r="792" customFormat="false" ht="15" hidden="false" customHeight="false" outlineLevel="0" collapsed="false">
      <c r="A792" s="7" t="s">
        <v>1967</v>
      </c>
      <c r="B792" s="8" t="s">
        <v>2015</v>
      </c>
      <c r="C792" s="8" t="s">
        <v>2014</v>
      </c>
      <c r="D792" s="7" t="n">
        <v>1</v>
      </c>
      <c r="E792" s="15" t="s">
        <v>2013</v>
      </c>
      <c r="F792" s="15"/>
      <c r="G792" s="15"/>
    </row>
    <row r="793" customFormat="false" ht="15" hidden="false" customHeight="false" outlineLevel="0" collapsed="false">
      <c r="A793" s="7" t="s">
        <v>1967</v>
      </c>
      <c r="B793" s="8" t="s">
        <v>2492</v>
      </c>
      <c r="C793" s="8" t="s">
        <v>2491</v>
      </c>
      <c r="D793" s="7" t="n">
        <v>1</v>
      </c>
      <c r="E793" s="15" t="s">
        <v>2490</v>
      </c>
      <c r="F793" s="15"/>
      <c r="G793" s="15"/>
    </row>
    <row r="794" customFormat="false" ht="15" hidden="false" customHeight="false" outlineLevel="0" collapsed="false">
      <c r="A794" s="7" t="s">
        <v>1967</v>
      </c>
      <c r="B794" s="8" t="s">
        <v>2287</v>
      </c>
      <c r="C794" s="8" t="s">
        <v>2286</v>
      </c>
      <c r="D794" s="7" t="n">
        <v>1</v>
      </c>
      <c r="E794" s="15" t="s">
        <v>2285</v>
      </c>
      <c r="F794" s="15"/>
      <c r="G794" s="15"/>
    </row>
    <row r="795" customFormat="false" ht="15" hidden="false" customHeight="false" outlineLevel="0" collapsed="false">
      <c r="A795" s="7" t="s">
        <v>1967</v>
      </c>
      <c r="B795" s="8" t="s">
        <v>2001</v>
      </c>
      <c r="C795" s="8" t="s">
        <v>2000</v>
      </c>
      <c r="D795" s="7" t="n">
        <v>3</v>
      </c>
      <c r="E795" s="15" t="s">
        <v>2841</v>
      </c>
      <c r="F795" s="13" t="s">
        <v>87</v>
      </c>
      <c r="G795" s="14"/>
    </row>
    <row r="796" customFormat="false" ht="29.85" hidden="false" customHeight="false" outlineLevel="0" collapsed="false">
      <c r="A796" s="7" t="s">
        <v>1967</v>
      </c>
      <c r="B796" s="8" t="s">
        <v>2348</v>
      </c>
      <c r="C796" s="8" t="s">
        <v>2347</v>
      </c>
      <c r="D796" s="7" t="n">
        <v>1</v>
      </c>
      <c r="E796" s="15" t="s">
        <v>2346</v>
      </c>
      <c r="F796" s="14"/>
      <c r="G796" s="14" t="s">
        <v>2349</v>
      </c>
    </row>
    <row r="797" customFormat="false" ht="15" hidden="false" customHeight="false" outlineLevel="0" collapsed="false">
      <c r="A797" s="7" t="s">
        <v>1967</v>
      </c>
      <c r="B797" s="8" t="s">
        <v>2521</v>
      </c>
      <c r="C797" s="8" t="s">
        <v>2520</v>
      </c>
      <c r="D797" s="7" t="n">
        <v>1</v>
      </c>
      <c r="E797" s="15" t="s">
        <v>2519</v>
      </c>
      <c r="F797" s="15"/>
      <c r="G797" s="15"/>
    </row>
    <row r="798" customFormat="false" ht="15" hidden="false" customHeight="false" outlineLevel="0" collapsed="false">
      <c r="A798" s="7" t="s">
        <v>1967</v>
      </c>
      <c r="B798" s="8" t="s">
        <v>2583</v>
      </c>
      <c r="C798" s="8" t="s">
        <v>2582</v>
      </c>
      <c r="D798" s="7" t="n">
        <v>1</v>
      </c>
      <c r="E798" s="15" t="s">
        <v>2581</v>
      </c>
      <c r="F798" s="15"/>
      <c r="G798" s="15"/>
    </row>
    <row r="799" customFormat="false" ht="15" hidden="false" customHeight="false" outlineLevel="0" collapsed="false">
      <c r="A799" s="7" t="s">
        <v>1967</v>
      </c>
      <c r="B799" s="8" t="s">
        <v>2182</v>
      </c>
      <c r="C799" s="8" t="s">
        <v>2181</v>
      </c>
      <c r="D799" s="7" t="n">
        <v>1</v>
      </c>
      <c r="E799" s="15" t="s">
        <v>2180</v>
      </c>
      <c r="F799" s="15"/>
      <c r="G799" s="15"/>
    </row>
    <row r="800" customFormat="false" ht="15" hidden="false" customHeight="false" outlineLevel="0" collapsed="false">
      <c r="A800" s="7" t="s">
        <v>1967</v>
      </c>
      <c r="B800" s="8" t="s">
        <v>2564</v>
      </c>
      <c r="C800" s="8" t="s">
        <v>2563</v>
      </c>
      <c r="D800" s="7" t="n">
        <v>1</v>
      </c>
      <c r="E800" s="15" t="s">
        <v>2562</v>
      </c>
      <c r="F800" s="15"/>
      <c r="G800" s="15"/>
    </row>
    <row r="801" customFormat="false" ht="15" hidden="false" customHeight="false" outlineLevel="0" collapsed="false">
      <c r="A801" s="7" t="s">
        <v>1967</v>
      </c>
      <c r="B801" s="8" t="s">
        <v>2087</v>
      </c>
      <c r="C801" s="8" t="s">
        <v>2086</v>
      </c>
      <c r="D801" s="7" t="n">
        <v>1</v>
      </c>
      <c r="E801" s="15" t="s">
        <v>2085</v>
      </c>
      <c r="F801" s="15"/>
      <c r="G801" s="15"/>
    </row>
    <row r="802" customFormat="false" ht="15" hidden="false" customHeight="false" outlineLevel="0" collapsed="false">
      <c r="A802" s="7" t="s">
        <v>1967</v>
      </c>
      <c r="B802" s="8" t="s">
        <v>2600</v>
      </c>
      <c r="C802" s="8" t="s">
        <v>2599</v>
      </c>
      <c r="D802" s="7" t="n">
        <v>1</v>
      </c>
      <c r="E802" s="15" t="s">
        <v>2598</v>
      </c>
      <c r="F802" s="15"/>
      <c r="G802" s="15"/>
    </row>
    <row r="803" customFormat="false" ht="15" hidden="false" customHeight="false" outlineLevel="0" collapsed="false">
      <c r="A803" s="7" t="s">
        <v>1967</v>
      </c>
      <c r="B803" s="8" t="s">
        <v>2680</v>
      </c>
      <c r="C803" s="8" t="s">
        <v>2679</v>
      </c>
      <c r="D803" s="7" t="n">
        <v>1</v>
      </c>
      <c r="E803" s="15" t="s">
        <v>2678</v>
      </c>
      <c r="F803" s="15"/>
      <c r="G803" s="15"/>
    </row>
    <row r="804" customFormat="false" ht="15" hidden="false" customHeight="false" outlineLevel="0" collapsed="false">
      <c r="A804" s="7" t="s">
        <v>1967</v>
      </c>
      <c r="B804" s="8" t="s">
        <v>2636</v>
      </c>
      <c r="C804" s="8" t="s">
        <v>2635</v>
      </c>
      <c r="D804" s="7" t="n">
        <v>1</v>
      </c>
      <c r="E804" s="15" t="s">
        <v>2634</v>
      </c>
      <c r="F804" s="15"/>
      <c r="G804" s="15"/>
    </row>
    <row r="805" customFormat="false" ht="15" hidden="false" customHeight="false" outlineLevel="0" collapsed="false">
      <c r="A805" s="7" t="s">
        <v>1967</v>
      </c>
      <c r="B805" s="8" t="s">
        <v>2209</v>
      </c>
      <c r="C805" s="8" t="s">
        <v>2208</v>
      </c>
      <c r="D805" s="7" t="n">
        <v>1</v>
      </c>
      <c r="E805" s="15" t="s">
        <v>2207</v>
      </c>
      <c r="F805" s="15"/>
      <c r="G805" s="15"/>
    </row>
    <row r="806" customFormat="false" ht="15" hidden="false" customHeight="false" outlineLevel="0" collapsed="false">
      <c r="A806" s="7" t="s">
        <v>1967</v>
      </c>
      <c r="B806" s="8" t="s">
        <v>2649</v>
      </c>
      <c r="C806" s="8" t="s">
        <v>2648</v>
      </c>
      <c r="D806" s="7" t="n">
        <v>1</v>
      </c>
      <c r="E806" s="15" t="s">
        <v>2647</v>
      </c>
      <c r="F806" s="15"/>
      <c r="G806" s="15"/>
    </row>
    <row r="807" customFormat="false" ht="15" hidden="false" customHeight="false" outlineLevel="0" collapsed="false">
      <c r="A807" s="7" t="s">
        <v>1967</v>
      </c>
      <c r="B807" s="8" t="s">
        <v>2504</v>
      </c>
      <c r="C807" s="8" t="s">
        <v>2503</v>
      </c>
      <c r="D807" s="7" t="n">
        <v>1</v>
      </c>
      <c r="E807" s="15" t="s">
        <v>2502</v>
      </c>
      <c r="F807" s="15"/>
      <c r="G807" s="15"/>
    </row>
    <row r="808" customFormat="false" ht="15" hidden="false" customHeight="false" outlineLevel="0" collapsed="false">
      <c r="A808" s="7" t="s">
        <v>1967</v>
      </c>
      <c r="B808" s="8" t="s">
        <v>2642</v>
      </c>
      <c r="C808" s="8" t="s">
        <v>2641</v>
      </c>
      <c r="D808" s="7" t="n">
        <v>1</v>
      </c>
      <c r="E808" s="15" t="s">
        <v>2640</v>
      </c>
      <c r="F808" s="15"/>
      <c r="G808" s="15"/>
    </row>
    <row r="809" customFormat="false" ht="15" hidden="false" customHeight="false" outlineLevel="0" collapsed="false">
      <c r="A809" s="7" t="s">
        <v>1967</v>
      </c>
      <c r="B809" s="8" t="s">
        <v>2664</v>
      </c>
      <c r="C809" s="8" t="s">
        <v>2663</v>
      </c>
      <c r="D809" s="7" t="n">
        <v>1</v>
      </c>
      <c r="E809" s="15" t="s">
        <v>2662</v>
      </c>
      <c r="F809" s="15"/>
      <c r="G809" s="15"/>
    </row>
    <row r="810" customFormat="false" ht="15" hidden="false" customHeight="false" outlineLevel="0" collapsed="false">
      <c r="A810" s="7" t="s">
        <v>1967</v>
      </c>
      <c r="B810" s="8" t="s">
        <v>2189</v>
      </c>
      <c r="C810" s="8" t="s">
        <v>2188</v>
      </c>
      <c r="D810" s="7" t="n">
        <v>1</v>
      </c>
      <c r="E810" s="15" t="s">
        <v>2187</v>
      </c>
      <c r="F810" s="15"/>
      <c r="G810" s="15"/>
    </row>
    <row r="811" customFormat="false" ht="15" hidden="false" customHeight="false" outlineLevel="0" collapsed="false">
      <c r="A811" s="7" t="s">
        <v>1967</v>
      </c>
      <c r="B811" s="8" t="s">
        <v>2630</v>
      </c>
      <c r="C811" s="8" t="s">
        <v>2629</v>
      </c>
      <c r="D811" s="7" t="n">
        <v>1</v>
      </c>
      <c r="E811" s="15" t="s">
        <v>2628</v>
      </c>
      <c r="F811" s="15"/>
      <c r="G811" s="15"/>
    </row>
    <row r="812" customFormat="false" ht="15" hidden="false" customHeight="false" outlineLevel="0" collapsed="false">
      <c r="A812" s="7" t="s">
        <v>1967</v>
      </c>
      <c r="B812" s="8" t="s">
        <v>2553</v>
      </c>
      <c r="C812" s="8" t="s">
        <v>2552</v>
      </c>
      <c r="D812" s="7" t="n">
        <v>1</v>
      </c>
      <c r="E812" s="15" t="s">
        <v>2551</v>
      </c>
      <c r="F812" s="15"/>
      <c r="G812" s="15"/>
    </row>
    <row r="813" customFormat="false" ht="15" hidden="false" customHeight="false" outlineLevel="0" collapsed="false">
      <c r="A813" s="7" t="s">
        <v>1967</v>
      </c>
      <c r="B813" s="8" t="s">
        <v>2525</v>
      </c>
      <c r="C813" s="8" t="s">
        <v>2523</v>
      </c>
      <c r="D813" s="7" t="n">
        <v>2</v>
      </c>
      <c r="E813" s="15" t="s">
        <v>2842</v>
      </c>
      <c r="F813" s="13" t="s">
        <v>87</v>
      </c>
      <c r="G813" s="14"/>
    </row>
    <row r="814" customFormat="false" ht="15" hidden="false" customHeight="false" outlineLevel="0" collapsed="false">
      <c r="A814" s="7" t="s">
        <v>1967</v>
      </c>
      <c r="B814" s="8" t="s">
        <v>2312</v>
      </c>
      <c r="C814" s="8" t="s">
        <v>2311</v>
      </c>
      <c r="D814" s="7" t="n">
        <v>3</v>
      </c>
      <c r="E814" s="15" t="s">
        <v>2843</v>
      </c>
      <c r="F814" s="13" t="s">
        <v>87</v>
      </c>
      <c r="G814" s="14"/>
    </row>
    <row r="815" customFormat="false" ht="15" hidden="false" customHeight="false" outlineLevel="0" collapsed="false">
      <c r="A815" s="7" t="s">
        <v>1967</v>
      </c>
      <c r="B815" s="8" t="s">
        <v>2300</v>
      </c>
      <c r="C815" s="8" t="s">
        <v>2298</v>
      </c>
      <c r="D815" s="7" t="n">
        <v>1</v>
      </c>
      <c r="E815" s="15" t="s">
        <v>2297</v>
      </c>
      <c r="F815" s="13" t="s">
        <v>74</v>
      </c>
      <c r="G815" s="14"/>
    </row>
  </sheetData>
  <autoFilter ref="A1:G8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8"/>
  </cols>
  <sheetData>
    <row r="1" customFormat="false" ht="17.15" hidden="false" customHeight="false" outlineLevel="0" collapsed="false">
      <c r="A1" s="16" t="s">
        <v>20</v>
      </c>
      <c r="B1" s="17" t="s">
        <v>2844</v>
      </c>
      <c r="C1" s="16" t="s">
        <v>2845</v>
      </c>
      <c r="D1" s="16" t="s">
        <v>2846</v>
      </c>
      <c r="E1" s="16" t="s">
        <v>2847</v>
      </c>
      <c r="F1" s="16" t="s">
        <v>2848</v>
      </c>
      <c r="G1" s="16" t="s">
        <v>2849</v>
      </c>
    </row>
    <row r="2" customFormat="false" ht="15" hidden="false" customHeight="false" outlineLevel="0" collapsed="false">
      <c r="A2" s="11" t="s">
        <v>33</v>
      </c>
      <c r="B2" s="11" t="n">
        <v>301</v>
      </c>
      <c r="C2" s="11" t="n">
        <f aca="false">COUNTIF(후보사전_원어별!$B$2:$B$963,A2)</f>
        <v>340</v>
      </c>
      <c r="D2" s="11" t="n">
        <f aca="false">COUNTIF(고유키_요약!$A$2:$A$815,A2)</f>
        <v>318</v>
      </c>
      <c r="E2" s="11" t="n">
        <f aca="false">COUNTIFS(후보사전_원어별!$B$2:$B$963,A2,후보사전_원어별!$H$2:$H$963,"?*")+COUNTIFS(후보사전_원어별!$B$2:$B$963,A2,후보사전_원어별!$H$2:$H$963,"",후보사전_원어별!$I$2:$I$963,"?*")</f>
        <v>80</v>
      </c>
      <c r="F2" s="11" t="n">
        <f aca="false">COUNTIFS(후보사전_원어별!$B$2:$B$963,A2,후보사전_원어별!$M$2:$M$963,"채택")+COUNTIFS(후보사전_원어별!$B$2:$B$963,A2,후보사전_원어별!$M$2:$M$963,"제외")</f>
        <v>0</v>
      </c>
      <c r="G2" s="11" t="n">
        <f aca="false">COUNTIFS(후보사전_원어별!$B$2:$B$963,A2,후보사전_원어별!$M$2:$M$963,"채택")</f>
        <v>0</v>
      </c>
    </row>
    <row r="3" customFormat="false" ht="15" hidden="false" customHeight="false" outlineLevel="0" collapsed="false">
      <c r="A3" s="11" t="s">
        <v>1025</v>
      </c>
      <c r="B3" s="11" t="n">
        <v>327</v>
      </c>
      <c r="C3" s="11" t="n">
        <f aca="false">COUNTIF(후보사전_원어별!$B$2:$B$963,A3)</f>
        <v>340</v>
      </c>
      <c r="D3" s="11" t="n">
        <f aca="false">COUNTIF(고유키_요약!$A$2:$A$815,A3)</f>
        <v>268</v>
      </c>
      <c r="E3" s="11" t="n">
        <f aca="false">COUNTIFS(후보사전_원어별!$B$2:$B$963,A3,후보사전_원어별!$H$2:$H$963,"?*")+COUNTIFS(후보사전_원어별!$B$2:$B$963,A3,후보사전_원어별!$H$2:$H$963,"",후보사전_원어별!$I$2:$I$963,"?*")</f>
        <v>152</v>
      </c>
      <c r="F3" s="11" t="n">
        <f aca="false">COUNTIFS(후보사전_원어별!$B$2:$B$963,A3,후보사전_원어별!$M$2:$M$963,"채택")+COUNTIFS(후보사전_원어별!$B$2:$B$963,A3,후보사전_원어별!$M$2:$M$963,"제외")</f>
        <v>0</v>
      </c>
      <c r="G3" s="11" t="n">
        <f aca="false">COUNTIFS(후보사전_원어별!$B$2:$B$963,A3,후보사전_원어별!$M$2:$M$963,"채택")</f>
        <v>0</v>
      </c>
    </row>
    <row r="4" customFormat="false" ht="15" hidden="false" customHeight="false" outlineLevel="0" collapsed="false">
      <c r="A4" s="11" t="s">
        <v>1967</v>
      </c>
      <c r="B4" s="11" t="n">
        <v>262</v>
      </c>
      <c r="C4" s="11" t="n">
        <f aca="false">COUNTIF(후보사전_원어별!$B$2:$B$963,A4)</f>
        <v>282</v>
      </c>
      <c r="D4" s="11" t="n">
        <f aca="false">COUNTIF(고유키_요약!$A$2:$A$815,A4)</f>
        <v>228</v>
      </c>
      <c r="E4" s="11" t="n">
        <f aca="false">COUNTIFS(후보사전_원어별!$B$2:$B$963,A4,후보사전_원어별!$H$2:$H$963,"?*")+COUNTIFS(후보사전_원어별!$B$2:$B$963,A4,후보사전_원어별!$H$2:$H$963,"",후보사전_원어별!$I$2:$I$963,"?*")</f>
        <v>131</v>
      </c>
      <c r="F4" s="11" t="n">
        <f aca="false">COUNTIFS(후보사전_원어별!$B$2:$B$963,A4,후보사전_원어별!$M$2:$M$963,"채택")+COUNTIFS(후보사전_원어별!$B$2:$B$963,A4,후보사전_원어별!$M$2:$M$963,"제외")</f>
        <v>0</v>
      </c>
      <c r="G4" s="11" t="n">
        <f aca="false">COUNTIFS(후보사전_원어별!$B$2:$B$963,A4,후보사전_원어별!$M$2:$M$963,"채택")</f>
        <v>0</v>
      </c>
    </row>
    <row r="5" customFormat="false" ht="15" hidden="false" customHeight="false" outlineLevel="0" collapsed="false">
      <c r="A5" s="18" t="s">
        <v>2850</v>
      </c>
      <c r="B5" s="19" t="n">
        <f aca="false">SUM(B2:B4)</f>
        <v>890</v>
      </c>
      <c r="C5" s="19" t="n">
        <f aca="false">SUM(C2:C4)</f>
        <v>962</v>
      </c>
      <c r="D5" s="19" t="n">
        <f aca="false">SUM(D2:D4)</f>
        <v>814</v>
      </c>
      <c r="E5" s="19" t="n">
        <f aca="false">SUM(E2:E4)</f>
        <v>363</v>
      </c>
      <c r="F5" s="19" t="n">
        <f aca="false">SUM(F2:F4)</f>
        <v>0</v>
      </c>
      <c r="G5" s="19" t="n">
        <f aca="false">SUM(G2:G4)</f>
        <v>0</v>
      </c>
    </row>
    <row r="7" customFormat="false" ht="15" hidden="false" customHeight="false" outlineLevel="0" collapsed="false">
      <c r="A7" s="20" t="s">
        <v>2851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2026-10-27T08:41:45Z</dcterms:created>
  <dc:creator>openpyxl</dc:creator>
  <dc:description/>
  <dc:language>en-US</dc:language>
  <cp:lastModifiedBy/>
  <dcterms:modified xsi:type="dcterms:W3CDTF">2026-10-27T08:41:45Z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